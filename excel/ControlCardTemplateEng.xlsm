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ngineer\Desktop\"/>
    </mc:Choice>
  </mc:AlternateContent>
  <xr:revisionPtr revIDLastSave="0" documentId="13_ncr:1_{F3F8BEAD-7DA7-4833-8D53-3E3DE391918E}" xr6:coauthVersionLast="47" xr6:coauthVersionMax="47" xr10:uidLastSave="{00000000-0000-0000-0000-000000000000}"/>
  <bookViews>
    <workbookView xWindow="-120" yWindow="-120" windowWidth="29040" windowHeight="15720" xr2:uid="{6A5D8DCD-60EF-4F66-AC5E-7C2838457E74}"/>
  </bookViews>
  <sheets>
    <sheet name="ИсходныеДанные" sheetId="1" r:id="rId1"/>
    <sheet name="Невидимки" sheetId="8" r:id="rId2"/>
    <sheet name="Покраска" sheetId="43" r:id="rId3"/>
    <sheet name="Вспомогательная (Панели)" sheetId="41" r:id="rId4"/>
    <sheet name="Панели (все)" sheetId="47" r:id="rId5"/>
    <sheet name="КК остальное" sheetId="48" r:id="rId6"/>
    <sheet name="Параметры" sheetId="7" r:id="rId7"/>
  </sheets>
  <externalReferences>
    <externalReference r:id="rId8"/>
  </externalReferences>
  <definedNames>
    <definedName name="_xlnm._FilterDatabase" localSheetId="3" hidden="1">'Вспомогательная (Панели)'!$C$1:$G$76</definedName>
    <definedName name="_xlnm._FilterDatabase" localSheetId="0" hidden="1">ИсходныеДанные!$A$11:$L$11</definedName>
    <definedName name="_xlnm._FilterDatabase" localSheetId="5" hidden="1">'КК остальное'!$A$13:$J$597</definedName>
    <definedName name="_xlnm._FilterDatabase" localSheetId="4" hidden="1">'Панели (все)'!$A$14:$I$173</definedName>
    <definedName name="N_соединений_балки">#REF!</definedName>
    <definedName name="N_соединений_фермы">#REF!</definedName>
    <definedName name="Nn_соединение_балки">'[1]Рассчетный лист'!$U$11</definedName>
    <definedName name="Nn_соединений_фермы">'[1]Рассчетный лист'!$Q$11</definedName>
    <definedName name="S_панелей">#REF!</definedName>
    <definedName name="S_панелей1">#REF!</definedName>
    <definedName name="Ss_панелей">'[1]Рассчетный лист'!$F$3</definedName>
    <definedName name="V_доски_готовых_балок">#REF!</definedName>
    <definedName name="V_доски_готовых_ферм">#REF!</definedName>
    <definedName name="V_доски_панели">#REF!</definedName>
    <definedName name="V_нарезки">#REF!</definedName>
    <definedName name="V_нарезки_каркаса">#REF!</definedName>
    <definedName name="V_плитных_материалов">#REF!</definedName>
    <definedName name="Vv_доски_панели">'[1]Рассчетный лист'!$F$31</definedName>
    <definedName name="Vv_нарезки">'[1]Рассчетный лист'!$K$25</definedName>
    <definedName name="Vv_плитных_материалов">'[1]Рассчетный лист'!$Q$67</definedName>
    <definedName name="Z_D777FD67_34AA_469B_AF9C_E6747BF56B31_.wvu.FilterData" localSheetId="5" hidden="1">'КК остальное'!$A$13:$J$597</definedName>
    <definedName name="изготовление_нарезки">#REF!</definedName>
    <definedName name="изготовление_панелей">#REF!</definedName>
    <definedName name="изготовление_панелейй">'[1]Рассчетный лист'!$AC$3</definedName>
    <definedName name="монтаж_МЗП_балки_пара">#REF!</definedName>
    <definedName name="монтаж_МЗП_фермы_пара">#REF!</definedName>
    <definedName name="Площадь_панелей">#REF!</definedName>
    <definedName name="погрузка_нарезки_балок">#REF!</definedName>
    <definedName name="погрузка_панелей_ферм">#REF!</definedName>
    <definedName name="погрузка_плитных_материалов">#REF!</definedName>
    <definedName name="СписокКраски">Параметры!$AX$2:$AX$32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2" i="47" l="1"/>
  <c r="E170" i="47"/>
  <c r="E169" i="47"/>
  <c r="E168" i="47"/>
  <c r="E167" i="47"/>
  <c r="E165" i="47"/>
  <c r="E163" i="47"/>
  <c r="E162" i="47"/>
  <c r="E149" i="47"/>
  <c r="E148" i="47"/>
  <c r="E147" i="47"/>
  <c r="E145" i="47"/>
  <c r="E143" i="47"/>
  <c r="E140" i="47"/>
  <c r="E139" i="47"/>
  <c r="E138" i="47"/>
  <c r="E136" i="47"/>
  <c r="E124" i="47"/>
  <c r="E123" i="47"/>
  <c r="E121" i="47"/>
  <c r="E120" i="47"/>
  <c r="E119" i="47"/>
  <c r="P119" i="47" s="1"/>
  <c r="E116" i="47"/>
  <c r="P116" i="47" s="1"/>
  <c r="E114" i="47"/>
  <c r="P114" i="47" s="1"/>
  <c r="E112" i="47"/>
  <c r="E111" i="47"/>
  <c r="E110" i="47"/>
  <c r="P110" i="47" s="1"/>
  <c r="E109" i="47"/>
  <c r="E107" i="47"/>
  <c r="P107" i="47" s="1"/>
  <c r="E106" i="47"/>
  <c r="E105" i="47"/>
  <c r="E104" i="47"/>
  <c r="E103" i="47"/>
  <c r="P103" i="47" s="1"/>
  <c r="E91" i="47"/>
  <c r="E87" i="47"/>
  <c r="E86" i="47"/>
  <c r="E82" i="47"/>
  <c r="E81" i="47"/>
  <c r="E77" i="47"/>
  <c r="E74" i="47"/>
  <c r="E72" i="47"/>
  <c r="E71" i="47"/>
  <c r="E70" i="47"/>
  <c r="E68" i="47"/>
  <c r="E67" i="47"/>
  <c r="E66" i="47"/>
  <c r="E65" i="47"/>
  <c r="E64" i="47"/>
  <c r="E51" i="47"/>
  <c r="E50" i="47"/>
  <c r="E49" i="47"/>
  <c r="E47" i="47"/>
  <c r="E46" i="47"/>
  <c r="E45" i="47"/>
  <c r="E40" i="47"/>
  <c r="E38" i="47"/>
  <c r="E36" i="47"/>
  <c r="E31" i="47"/>
  <c r="E29" i="47"/>
  <c r="E27" i="47"/>
  <c r="E26" i="47"/>
  <c r="E25" i="47"/>
  <c r="E24" i="47"/>
  <c r="E22" i="47"/>
  <c r="E20" i="47"/>
  <c r="P20" i="47" s="1"/>
  <c r="P165" i="47"/>
  <c r="P163" i="47"/>
  <c r="P162" i="47"/>
  <c r="P145" i="47"/>
  <c r="P143" i="47"/>
  <c r="P120" i="47"/>
  <c r="G603" i="48"/>
  <c r="AP15" i="7"/>
  <c r="L41" i="48" a="1"/>
  <c r="L41" i="48" s="1"/>
  <c r="P597" i="48"/>
  <c r="P596" i="48"/>
  <c r="F595" i="48"/>
  <c r="P595" i="48" s="1"/>
  <c r="P594" i="48"/>
  <c r="F593" i="48"/>
  <c r="P593" i="48" s="1"/>
  <c r="P592" i="48"/>
  <c r="F591" i="48"/>
  <c r="P591" i="48" s="1"/>
  <c r="P590" i="48"/>
  <c r="P589" i="48"/>
  <c r="F588" i="48"/>
  <c r="P588" i="48" s="1"/>
  <c r="P587" i="48"/>
  <c r="P586" i="48"/>
  <c r="P585" i="48"/>
  <c r="P584" i="48"/>
  <c r="F583" i="48"/>
  <c r="P583" i="48" s="1"/>
  <c r="P582" i="48"/>
  <c r="P581" i="48"/>
  <c r="P580" i="48"/>
  <c r="P579" i="48"/>
  <c r="P578" i="48"/>
  <c r="F577" i="48"/>
  <c r="F575" i="48"/>
  <c r="P576" i="48" s="1"/>
  <c r="P574" i="48"/>
  <c r="P573" i="48"/>
  <c r="P572" i="48"/>
  <c r="F571" i="48"/>
  <c r="P571" i="48" s="1"/>
  <c r="P570" i="48"/>
  <c r="P568" i="48"/>
  <c r="P567" i="48"/>
  <c r="P566" i="48"/>
  <c r="P565" i="48"/>
  <c r="F564" i="48"/>
  <c r="P564" i="48" s="1"/>
  <c r="P563" i="48"/>
  <c r="P562" i="48"/>
  <c r="F561" i="48"/>
  <c r="P561" i="48" s="1"/>
  <c r="P560" i="48"/>
  <c r="P558" i="48"/>
  <c r="F557" i="48"/>
  <c r="P557" i="48" s="1"/>
  <c r="F555" i="48"/>
  <c r="F556" i="48" s="1"/>
  <c r="P556" i="48" s="1"/>
  <c r="F554" i="48"/>
  <c r="P554" i="48" s="1"/>
  <c r="F553" i="48"/>
  <c r="P553" i="48" s="1"/>
  <c r="P550" i="48"/>
  <c r="F549" i="48"/>
  <c r="F559" i="48" s="1"/>
  <c r="P559" i="48" s="1"/>
  <c r="F548" i="48"/>
  <c r="P548" i="48" s="1"/>
  <c r="F547" i="48"/>
  <c r="P547" i="48" s="1"/>
  <c r="F546" i="48"/>
  <c r="F551" i="48" s="1"/>
  <c r="P551" i="48" s="1"/>
  <c r="P545" i="48"/>
  <c r="P544" i="48"/>
  <c r="P543" i="48"/>
  <c r="P542" i="48"/>
  <c r="P541" i="48"/>
  <c r="P540" i="48"/>
  <c r="P539" i="48"/>
  <c r="P538" i="48"/>
  <c r="P537" i="48"/>
  <c r="P536" i="48"/>
  <c r="P535" i="48"/>
  <c r="P534" i="48"/>
  <c r="P533" i="48"/>
  <c r="P529" i="48"/>
  <c r="F527" i="48"/>
  <c r="P527" i="48" s="1"/>
  <c r="P526" i="48"/>
  <c r="F525" i="48"/>
  <c r="P525" i="48" s="1"/>
  <c r="P524" i="48"/>
  <c r="F523" i="48"/>
  <c r="P523" i="48" s="1"/>
  <c r="P522" i="48"/>
  <c r="F521" i="48"/>
  <c r="P521" i="48" s="1"/>
  <c r="P520" i="48"/>
  <c r="F519" i="48"/>
  <c r="P519" i="48" s="1"/>
  <c r="P518" i="48"/>
  <c r="P517" i="48"/>
  <c r="P516" i="48"/>
  <c r="P515" i="48"/>
  <c r="P514" i="48"/>
  <c r="P513" i="48"/>
  <c r="P512" i="48"/>
  <c r="P511" i="48"/>
  <c r="P510" i="48"/>
  <c r="P509" i="48"/>
  <c r="P507" i="48"/>
  <c r="P506" i="48"/>
  <c r="P505" i="48"/>
  <c r="P504" i="48"/>
  <c r="P503" i="48"/>
  <c r="P502" i="48"/>
  <c r="F501" i="48"/>
  <c r="P501" i="48" s="1"/>
  <c r="P500" i="48"/>
  <c r="P499" i="48"/>
  <c r="F498" i="48"/>
  <c r="P498" i="48" s="1"/>
  <c r="P497" i="48"/>
  <c r="F493" i="48"/>
  <c r="P493" i="48" s="1"/>
  <c r="P492" i="48"/>
  <c r="P491" i="48"/>
  <c r="F490" i="48"/>
  <c r="P490" i="48" s="1"/>
  <c r="P489" i="48"/>
  <c r="F488" i="48"/>
  <c r="P488" i="48" s="1"/>
  <c r="P487" i="48"/>
  <c r="P484" i="48"/>
  <c r="P483" i="48"/>
  <c r="P482" i="48"/>
  <c r="P481" i="48"/>
  <c r="P480" i="48"/>
  <c r="P479" i="48"/>
  <c r="P478" i="48"/>
  <c r="F477" i="48"/>
  <c r="P477" i="48" s="1"/>
  <c r="P476" i="48"/>
  <c r="P475" i="48"/>
  <c r="F474" i="48"/>
  <c r="P474" i="48" s="1"/>
  <c r="P473" i="48"/>
  <c r="F472" i="48"/>
  <c r="P472" i="48" s="1"/>
  <c r="P471" i="48"/>
  <c r="F470" i="48"/>
  <c r="F468" i="48"/>
  <c r="P468" i="48" s="1"/>
  <c r="P467" i="48"/>
  <c r="P466" i="48"/>
  <c r="P465" i="48"/>
  <c r="P464" i="48"/>
  <c r="P463" i="48"/>
  <c r="P462" i="48"/>
  <c r="P461" i="48"/>
  <c r="P460" i="48"/>
  <c r="P459" i="48"/>
  <c r="P458" i="48"/>
  <c r="F457" i="48"/>
  <c r="P457" i="48" s="1"/>
  <c r="P456" i="48"/>
  <c r="P455" i="48"/>
  <c r="P454" i="48"/>
  <c r="P453" i="48"/>
  <c r="F452" i="48"/>
  <c r="P452" i="48" s="1"/>
  <c r="P451" i="48"/>
  <c r="F450" i="48"/>
  <c r="P450" i="48" s="1"/>
  <c r="P449" i="48"/>
  <c r="F448" i="48"/>
  <c r="P448" i="48" s="1"/>
  <c r="F447" i="48"/>
  <c r="P447" i="48" s="1"/>
  <c r="F446" i="48"/>
  <c r="P446" i="48" s="1"/>
  <c r="P445" i="48"/>
  <c r="P444" i="48"/>
  <c r="F443" i="48"/>
  <c r="F442" i="48"/>
  <c r="P443" i="48" s="1"/>
  <c r="F441" i="48"/>
  <c r="P441" i="48" s="1"/>
  <c r="P440" i="48"/>
  <c r="P439" i="48"/>
  <c r="P438" i="48"/>
  <c r="P437" i="48"/>
  <c r="P436" i="48"/>
  <c r="P435" i="48"/>
  <c r="P434" i="48"/>
  <c r="P433" i="48"/>
  <c r="P432" i="48"/>
  <c r="F426" i="48"/>
  <c r="P426" i="48" s="1"/>
  <c r="P425" i="48"/>
  <c r="F424" i="48"/>
  <c r="P424" i="48" s="1"/>
  <c r="P423" i="48"/>
  <c r="F422" i="48"/>
  <c r="F420" i="48"/>
  <c r="P420" i="48" s="1"/>
  <c r="P419" i="48"/>
  <c r="F418" i="48"/>
  <c r="P418" i="48" s="1"/>
  <c r="P417" i="48"/>
  <c r="F416" i="48"/>
  <c r="P416" i="48" s="1"/>
  <c r="F415" i="48"/>
  <c r="P415" i="48" s="1"/>
  <c r="F414" i="48"/>
  <c r="P414" i="48" s="1"/>
  <c r="P413" i="48"/>
  <c r="P412" i="48"/>
  <c r="F411" i="48"/>
  <c r="P411" i="48" s="1"/>
  <c r="F410" i="48"/>
  <c r="P410" i="48" s="1"/>
  <c r="F409" i="48"/>
  <c r="P409" i="48" s="1"/>
  <c r="P408" i="48"/>
  <c r="P407" i="48"/>
  <c r="F406" i="48"/>
  <c r="P406" i="48" s="1"/>
  <c r="P405" i="48"/>
  <c r="F404" i="48"/>
  <c r="P404" i="48" s="1"/>
  <c r="P403" i="48"/>
  <c r="F402" i="48"/>
  <c r="P402" i="48" s="1"/>
  <c r="P401" i="48"/>
  <c r="P400" i="48"/>
  <c r="P399" i="48"/>
  <c r="P398" i="48"/>
  <c r="P397" i="48"/>
  <c r="P394" i="48"/>
  <c r="P393" i="48"/>
  <c r="P392" i="48"/>
  <c r="P390" i="48"/>
  <c r="P389" i="48"/>
  <c r="F388" i="48"/>
  <c r="P388" i="48" s="1"/>
  <c r="F387" i="48"/>
  <c r="P387" i="48" s="1"/>
  <c r="P386" i="48"/>
  <c r="F385" i="48"/>
  <c r="P385" i="48" s="1"/>
  <c r="P384" i="48"/>
  <c r="P383" i="48"/>
  <c r="P382" i="48"/>
  <c r="F381" i="48"/>
  <c r="P381" i="48" s="1"/>
  <c r="F380" i="48"/>
  <c r="P379" i="48"/>
  <c r="P378" i="48"/>
  <c r="P377" i="48"/>
  <c r="P376" i="48"/>
  <c r="P375" i="48"/>
  <c r="F373" i="48"/>
  <c r="P373" i="48" s="1"/>
  <c r="F372" i="48"/>
  <c r="P372" i="48" s="1"/>
  <c r="F371" i="48"/>
  <c r="P371" i="48" s="1"/>
  <c r="F370" i="48"/>
  <c r="P370" i="48" s="1"/>
  <c r="P369" i="48"/>
  <c r="F366" i="48"/>
  <c r="P366" i="48" s="1"/>
  <c r="F365" i="48"/>
  <c r="P365" i="48" s="1"/>
  <c r="P364" i="48"/>
  <c r="F363" i="48"/>
  <c r="P363" i="48" s="1"/>
  <c r="P362" i="48"/>
  <c r="P361" i="48"/>
  <c r="F359" i="48"/>
  <c r="F357" i="48"/>
  <c r="F355" i="48"/>
  <c r="P355" i="48" s="1"/>
  <c r="P354" i="48"/>
  <c r="F353" i="48"/>
  <c r="P352" i="48" s="1"/>
  <c r="P351" i="48"/>
  <c r="F349" i="48"/>
  <c r="P349" i="48" s="1"/>
  <c r="P348" i="48"/>
  <c r="P347" i="48"/>
  <c r="P343" i="48"/>
  <c r="P341" i="48"/>
  <c r="P340" i="48"/>
  <c r="P335" i="48"/>
  <c r="P334" i="48"/>
  <c r="P333" i="48"/>
  <c r="F332" i="48"/>
  <c r="F328" i="48"/>
  <c r="P328" i="48" s="1"/>
  <c r="F327" i="48"/>
  <c r="P327" i="48" s="1"/>
  <c r="P326" i="48"/>
  <c r="P325" i="48"/>
  <c r="P324" i="48"/>
  <c r="P323" i="48"/>
  <c r="F322" i="48"/>
  <c r="P316" i="48"/>
  <c r="P315" i="48"/>
  <c r="P314" i="48"/>
  <c r="P312" i="48"/>
  <c r="P311" i="48"/>
  <c r="F310" i="48"/>
  <c r="P310" i="48" s="1"/>
  <c r="F309" i="48"/>
  <c r="P309" i="48" s="1"/>
  <c r="F308" i="48"/>
  <c r="P308" i="48" s="1"/>
  <c r="P307" i="48"/>
  <c r="F306" i="48"/>
  <c r="P306" i="48" s="1"/>
  <c r="P302" i="48"/>
  <c r="P300" i="48"/>
  <c r="F294" i="48"/>
  <c r="F292" i="48"/>
  <c r="F288" i="48"/>
  <c r="F286" i="48"/>
  <c r="P283" i="48"/>
  <c r="P282" i="48"/>
  <c r="F281" i="48"/>
  <c r="P281" i="48" s="1"/>
  <c r="F280" i="48"/>
  <c r="P280" i="48" s="1"/>
  <c r="P279" i="48"/>
  <c r="F278" i="48"/>
  <c r="P278" i="48" s="1"/>
  <c r="P277" i="48"/>
  <c r="F276" i="48"/>
  <c r="P276" i="48" s="1"/>
  <c r="P275" i="48"/>
  <c r="P274" i="48"/>
  <c r="P273" i="48"/>
  <c r="F272" i="48"/>
  <c r="P272" i="48" s="1"/>
  <c r="P271" i="48"/>
  <c r="P270" i="48"/>
  <c r="P269" i="48"/>
  <c r="F268" i="48"/>
  <c r="P268" i="48" s="1"/>
  <c r="P267" i="48"/>
  <c r="P266" i="48"/>
  <c r="P265" i="48"/>
  <c r="F264" i="48"/>
  <c r="P264" i="48" s="1"/>
  <c r="P263" i="48"/>
  <c r="P262" i="48"/>
  <c r="F261" i="48"/>
  <c r="P261" i="48" s="1"/>
  <c r="P259" i="48"/>
  <c r="F258" i="48"/>
  <c r="P258" i="48" s="1"/>
  <c r="P257" i="48"/>
  <c r="P256" i="48"/>
  <c r="F255" i="48"/>
  <c r="P255" i="48" s="1"/>
  <c r="P254" i="48"/>
  <c r="F253" i="48"/>
  <c r="P253" i="48" s="1"/>
  <c r="F252" i="48"/>
  <c r="P251" i="48"/>
  <c r="P249" i="48"/>
  <c r="F247" i="48"/>
  <c r="P247" i="48" s="1"/>
  <c r="F246" i="48"/>
  <c r="P243" i="48"/>
  <c r="P242" i="48"/>
  <c r="F241" i="48"/>
  <c r="P241" i="48" s="1"/>
  <c r="P240" i="48"/>
  <c r="F239" i="48"/>
  <c r="P239" i="48" s="1"/>
  <c r="P238" i="48"/>
  <c r="F237" i="48"/>
  <c r="P237" i="48" s="1"/>
  <c r="F236" i="48"/>
  <c r="P236" i="48" s="1"/>
  <c r="F235" i="48"/>
  <c r="P232" i="48"/>
  <c r="P231" i="48"/>
  <c r="P229" i="48"/>
  <c r="P227" i="48"/>
  <c r="F225" i="48"/>
  <c r="P225" i="48" s="1"/>
  <c r="F224" i="48"/>
  <c r="P224" i="48" s="1"/>
  <c r="P223" i="48"/>
  <c r="P222" i="48"/>
  <c r="P221" i="48"/>
  <c r="F220" i="48"/>
  <c r="P220" i="48" s="1"/>
  <c r="P217" i="48"/>
  <c r="P216" i="48"/>
  <c r="P215" i="48"/>
  <c r="P214" i="48"/>
  <c r="F213" i="48"/>
  <c r="P213" i="48" s="1"/>
  <c r="P211" i="48"/>
  <c r="F210" i="48"/>
  <c r="P210" i="48" s="1"/>
  <c r="P209" i="48"/>
  <c r="F207" i="48"/>
  <c r="P207" i="48" s="1"/>
  <c r="P205" i="48"/>
  <c r="P204" i="48"/>
  <c r="F202" i="48"/>
  <c r="P202" i="48" s="1"/>
  <c r="P201" i="48"/>
  <c r="P200" i="48"/>
  <c r="F199" i="48"/>
  <c r="P199" i="48" s="1"/>
  <c r="P198" i="48"/>
  <c r="F197" i="48"/>
  <c r="F195" i="48"/>
  <c r="P195" i="48" s="1"/>
  <c r="P194" i="48"/>
  <c r="P192" i="48"/>
  <c r="P191" i="48"/>
  <c r="F190" i="48"/>
  <c r="P190" i="48" s="1"/>
  <c r="P189" i="48"/>
  <c r="P188" i="48"/>
  <c r="P186" i="48"/>
  <c r="P185" i="48"/>
  <c r="P184" i="48"/>
  <c r="P183" i="48"/>
  <c r="P182" i="48"/>
  <c r="P181" i="48"/>
  <c r="F180" i="48"/>
  <c r="P180" i="48" s="1"/>
  <c r="P179" i="48"/>
  <c r="P178" i="48"/>
  <c r="F177" i="48"/>
  <c r="P177" i="48" s="1"/>
  <c r="P176" i="48"/>
  <c r="P175" i="48"/>
  <c r="F174" i="48"/>
  <c r="P174" i="48" s="1"/>
  <c r="P173" i="48"/>
  <c r="P172" i="48"/>
  <c r="F171" i="48"/>
  <c r="P171" i="48" s="1"/>
  <c r="P170" i="48"/>
  <c r="P169" i="48"/>
  <c r="F167" i="48"/>
  <c r="F166" i="48"/>
  <c r="P166" i="48" s="1"/>
  <c r="P164" i="48"/>
  <c r="P161" i="48"/>
  <c r="P160" i="48"/>
  <c r="F159" i="48"/>
  <c r="P159" i="48" s="1"/>
  <c r="P157" i="48"/>
  <c r="P156" i="48"/>
  <c r="P155" i="48"/>
  <c r="P154" i="48"/>
  <c r="F151" i="48"/>
  <c r="P151" i="48" s="1"/>
  <c r="F150" i="48"/>
  <c r="P149" i="48"/>
  <c r="F146" i="48"/>
  <c r="F143" i="48"/>
  <c r="P143" i="48" s="1"/>
  <c r="P142" i="48"/>
  <c r="P141" i="48"/>
  <c r="F138" i="48"/>
  <c r="F140" i="48" s="1"/>
  <c r="P137" i="48"/>
  <c r="P136" i="48"/>
  <c r="F130" i="48"/>
  <c r="P130" i="48" s="1"/>
  <c r="F129" i="48"/>
  <c r="P129" i="48" s="1"/>
  <c r="F128" i="48"/>
  <c r="P128" i="48" s="1"/>
  <c r="F127" i="48"/>
  <c r="P127" i="48" s="1"/>
  <c r="F123" i="48"/>
  <c r="F122" i="48"/>
  <c r="F118" i="48"/>
  <c r="F117" i="48"/>
  <c r="F111" i="48"/>
  <c r="F113" i="48" s="1"/>
  <c r="F110" i="48"/>
  <c r="F112" i="48" s="1"/>
  <c r="F114" i="48" s="1"/>
  <c r="P105" i="48"/>
  <c r="P104" i="48"/>
  <c r="F101" i="48"/>
  <c r="F103" i="48" s="1"/>
  <c r="F100" i="48"/>
  <c r="P100" i="48" s="1"/>
  <c r="P99" i="48"/>
  <c r="P95" i="48"/>
  <c r="P93" i="48"/>
  <c r="P92" i="48"/>
  <c r="P90" i="48"/>
  <c r="P88" i="48"/>
  <c r="P86" i="48"/>
  <c r="P85" i="48"/>
  <c r="P84" i="48"/>
  <c r="P83" i="48"/>
  <c r="P82" i="48"/>
  <c r="P81" i="48"/>
  <c r="F77" i="48"/>
  <c r="P77" i="48" s="1"/>
  <c r="P76" i="48"/>
  <c r="F75" i="48"/>
  <c r="P75" i="48" s="1"/>
  <c r="P74" i="48"/>
  <c r="P71" i="48"/>
  <c r="F70" i="48"/>
  <c r="P70" i="48" s="1"/>
  <c r="P69" i="48"/>
  <c r="P67" i="48"/>
  <c r="P65" i="48"/>
  <c r="J63" i="48" a="1"/>
  <c r="J63" i="48" s="1"/>
  <c r="P62" i="48"/>
  <c r="P61" i="48"/>
  <c r="F56" i="48"/>
  <c r="F55" i="48"/>
  <c r="J10" i="48"/>
  <c r="J9" i="48"/>
  <c r="J8" i="48"/>
  <c r="J7" i="48"/>
  <c r="H7" i="48"/>
  <c r="J6" i="48"/>
  <c r="J5" i="48"/>
  <c r="A5" i="48"/>
  <c r="J4" i="48"/>
  <c r="J3" i="48"/>
  <c r="J2" i="48"/>
  <c r="J1" i="48"/>
  <c r="P149" i="47"/>
  <c r="P147" i="47"/>
  <c r="I134" i="47"/>
  <c r="P106" i="47"/>
  <c r="I9" i="47"/>
  <c r="I8" i="47"/>
  <c r="I7" i="47"/>
  <c r="I6" i="47"/>
  <c r="I5" i="47"/>
  <c r="A5" i="47"/>
  <c r="I4" i="47"/>
  <c r="I3" i="47"/>
  <c r="I2" i="47"/>
  <c r="I1" i="47"/>
  <c r="K71" i="41"/>
  <c r="K70" i="41"/>
  <c r="K69" i="41"/>
  <c r="K68" i="41"/>
  <c r="K66" i="41"/>
  <c r="K65" i="41"/>
  <c r="K64" i="41"/>
  <c r="K56" i="41"/>
  <c r="K55" i="41"/>
  <c r="K53" i="41"/>
  <c r="K49" i="41"/>
  <c r="K47" i="41"/>
  <c r="K46" i="41"/>
  <c r="K43" i="41"/>
  <c r="K2" i="41"/>
  <c r="K83" i="41" l="1"/>
  <c r="P180" i="47"/>
  <c r="H8" i="48"/>
  <c r="P546" i="48"/>
  <c r="F552" i="48"/>
  <c r="P552" i="48" s="1"/>
  <c r="P604" i="48"/>
  <c r="F374" i="48"/>
  <c r="P549" i="48"/>
  <c r="P555" i="48"/>
  <c r="F102" i="48"/>
  <c r="F139" i="48"/>
  <c r="F603" i="4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STRVyatka</author>
  </authors>
  <commentList>
    <comment ref="I130" authorId="0" shapeId="0" xr:uid="{00000000-0006-0000-0400-000001000000}">
      <text>
        <r>
          <rPr>
            <b/>
            <sz val="9"/>
            <rFont val="Tahoma"/>
            <family val="2"/>
            <charset val="204"/>
          </rPr>
          <t>STRVyatka:</t>
        </r>
        <r>
          <rPr>
            <sz val="9"/>
            <rFont val="Tahoma"/>
            <family val="2"/>
            <charset val="204"/>
          </rPr>
          <t xml:space="preserve">
Баллон на 8-10 м2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</author>
    <author/>
    <author>user</author>
  </authors>
  <commentList>
    <comment ref="J17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На 9 листов один баллон
</t>
        </r>
      </text>
    </comment>
    <comment ref="J88" authorId="1" shapeId="0" xr:uid="{00000000-0006-0000-0500-000002000000}">
      <text>
        <r>
          <rPr>
            <sz val="9"/>
            <rFont val="Tahoma"/>
            <family val="2"/>
            <charset val="204"/>
          </rPr>
          <t>======
ID#AAAAMmCFiB0
STRVyatka    (2021-07-07 06:44:37)
Соеденительный элимент, поддерживающий, создающий опору балок и досок</t>
        </r>
      </text>
    </comment>
    <comment ref="J99" authorId="1" shapeId="0" xr:uid="{00000000-0006-0000-0500-000003000000}">
      <text>
        <r>
          <rPr>
            <sz val="9"/>
            <rFont val="Tahoma"/>
            <family val="2"/>
            <charset val="204"/>
          </rPr>
          <t>======
ID#AAAAMmCFiBY
STRVyatka    (2021-07-07 06:44:37)
Кол-во всех элементов силового каркаса*7</t>
        </r>
      </text>
    </comment>
    <comment ref="J105" authorId="1" shapeId="0" xr:uid="{00000000-0006-0000-0500-000004000000}">
      <text>
        <r>
          <rPr>
            <sz val="9"/>
            <rFont val="Tahoma"/>
            <family val="2"/>
            <charset val="204"/>
          </rPr>
          <t>======
ID#AAAAMmCFiCo
STRVyatka    (2021-07-07 06:44:37)
4 шт.в ряд  с шагом 400</t>
        </r>
      </text>
    </comment>
    <comment ref="J108" authorId="1" shapeId="0" xr:uid="{00000000-0006-0000-0500-000005000000}">
      <text>
        <r>
          <rPr>
            <sz val="9"/>
            <rFont val="Tahoma"/>
            <family val="2"/>
            <charset val="204"/>
          </rPr>
          <t>======
ID#AAAAMmCFiC4
STRVyatka    (2021-07-07 06:44:37)
на каждый стык панелей сверху</t>
        </r>
      </text>
    </comment>
    <comment ref="J136" authorId="1" shapeId="0" xr:uid="{00000000-0006-0000-0500-000006000000}">
      <text>
        <r>
          <rPr>
            <sz val="9"/>
            <rFont val="Tahoma"/>
            <family val="2"/>
            <charset val="204"/>
          </rPr>
          <t>Крепление соединений панелей: по 2 самореза снизу и сверху и по высоте с шагом 300; соединение по нижней поперечной связи по краям 2 шт.: с шагом 600 по всему периметру 45 бруска снаружи и с шагом 1000 внутри</t>
        </r>
      </text>
    </comment>
    <comment ref="J155" authorId="1" shapeId="0" xr:uid="{00000000-0006-0000-0500-000007000000}">
      <text>
        <r>
          <rPr>
            <sz val="9"/>
            <rFont val="Tahoma"/>
            <family val="2"/>
            <charset val="204"/>
          </rPr>
          <t>по периметру панелей и высоте соединений(на производстве уже есть, так что берем запас с половины соединений)</t>
        </r>
      </text>
    </comment>
    <comment ref="J156" authorId="1" shapeId="0" xr:uid="{00000000-0006-0000-0500-000008000000}">
      <text>
        <r>
          <rPr>
            <sz val="9"/>
            <rFont val="Tahoma"/>
            <family val="2"/>
            <charset val="204"/>
          </rPr>
          <t>по периметру панелей и высоте соединений(на производстве уже есть, так что берем запас с половины соединений)</t>
        </r>
      </text>
    </comment>
    <comment ref="J160" authorId="1" shapeId="0" xr:uid="{00000000-0006-0000-0500-000009000000}">
      <text>
        <r>
          <rPr>
            <sz val="9"/>
            <rFont val="Tahoma"/>
            <family val="2"/>
            <charset val="204"/>
          </rPr>
          <t>======
ID#AAAAMmCFiCg
STRVyatka    (2021-07-07 06:44:37)
если есть в нарезку, на стройку не берем, ставим только для подсчета метизов</t>
        </r>
      </text>
    </comment>
    <comment ref="J161" authorId="1" shapeId="0" xr:uid="{00000000-0006-0000-0500-00000A000000}">
      <text>
        <r>
          <rPr>
            <sz val="9"/>
            <rFont val="Tahoma"/>
            <family val="2"/>
            <charset val="204"/>
          </rPr>
          <t>======
ID#AAAAMmCFiDA
STRVyatka    (2021-07-07 06:44:37)
если есть в нарезку, на стройку не берем, ставим только для подсчета метизов</t>
        </r>
      </text>
    </comment>
    <comment ref="J169" authorId="1" shapeId="0" xr:uid="{00000000-0006-0000-0500-00000B000000}">
      <text>
        <r>
          <rPr>
            <sz val="9"/>
            <rFont val="Tahoma"/>
            <family val="2"/>
            <charset val="204"/>
          </rPr>
          <t>======
ID#AAAAMmCFiCA
STRVyatka    (2021-07-07 06:44:37)
если есть в нарезку, на стройку не берем, ставим только для подсчета метизов</t>
        </r>
      </text>
    </comment>
    <comment ref="J170" authorId="1" shapeId="0" xr:uid="{00000000-0006-0000-0500-00000C000000}">
      <text>
        <r>
          <rPr>
            <sz val="9"/>
            <rFont val="Tahoma"/>
            <family val="2"/>
            <charset val="204"/>
          </rPr>
          <t>======
ID#AAAAMmCFiBA
STRVyatka    (2021-07-07 06:44:37)
Считаем контур примыкания внутр. стен и перегородок к наружным стенам</t>
        </r>
      </text>
    </comment>
    <comment ref="J173" authorId="1" shapeId="0" xr:uid="{00000000-0006-0000-0500-00000D000000}">
      <text>
        <r>
          <rPr>
            <sz val="9"/>
            <rFont val="Tahoma"/>
            <family val="2"/>
            <charset val="204"/>
          </rPr>
          <t>==
Если ВВЗ на стенах нет то закладная ВВЗ не нужна</t>
        </r>
      </text>
    </comment>
    <comment ref="J178" authorId="1" shapeId="0" xr:uid="{00000000-0006-0000-0500-00000E000000}">
      <text>
        <r>
          <rPr>
            <sz val="9"/>
            <rFont val="Tahoma"/>
            <family val="2"/>
            <charset val="204"/>
          </rPr>
          <t>======
ID#AAAAMmCFiCM
STRVyatka    (2021-07-07 06:44:37)
По ширине: Длина бруска аэроэлемента+вниз до верхней обвязки; по длине: расстояние между стропилами+300мм на загиб</t>
        </r>
      </text>
    </comment>
    <comment ref="J179" authorId="1" shapeId="0" xr:uid="{00000000-0006-0000-0500-00000F000000}">
      <text>
        <r>
          <rPr>
            <sz val="9"/>
            <rFont val="Tahoma"/>
            <family val="2"/>
            <charset val="204"/>
          </rPr>
          <t>======
ID#AAAAMmCFiBM
STRVyatka    (2021-07-07 06:44:37)
В случаи когда ВВЗ идет по фасаду для соединения воединое (при изоплате скотч не нужен, т.к. ВВЗ заводится под изоплат и крепится на гвозди)</t>
        </r>
      </text>
    </comment>
    <comment ref="J187" authorId="2" shapeId="0" xr:uid="{00000000-0006-0000-0500-000010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Считать вручную по чертежу ферм</t>
        </r>
      </text>
    </comment>
    <comment ref="J188" authorId="2" shapeId="0" xr:uid="{00000000-0006-0000-0500-000011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Считать вручную по чертежу ферм</t>
        </r>
      </text>
    </comment>
    <comment ref="J189" authorId="1" shapeId="0" xr:uid="{00000000-0006-0000-0500-000012000000}">
      <text>
        <r>
          <rPr>
            <sz val="9"/>
            <rFont val="Tahoma"/>
            <family val="2"/>
            <charset val="204"/>
          </rPr>
          <t>======
ID#AAAAMmCFiCY
STRVyatka    (2021-07-07 06:44:37)
Ширина 1500мм*50м считать с нахлестом 100мм</t>
        </r>
      </text>
    </comment>
    <comment ref="J192" authorId="1" shapeId="0" xr:uid="{00000000-0006-0000-0500-000013000000}">
      <text>
        <r>
          <rPr>
            <sz val="9"/>
            <rFont val="Tahoma"/>
            <family val="2"/>
            <charset val="204"/>
          </rPr>
          <t>======
ID#AAAAMmCFiA8
STRVyatka    (2021-07-07 06:44:37)
длину по карнизу кровли делим на ширину рулона ВВЗ ((1400 с нахлестом) чтобы узнать сколько полос ВВЗ) и умножаем на длину ската
(считал по крыше и навесу террасы)</t>
        </r>
      </text>
    </comment>
    <comment ref="J223" authorId="1" shapeId="0" xr:uid="{00000000-0006-0000-0500-000014000000}">
      <text>
        <r>
          <rPr>
            <sz val="9"/>
            <rFont val="Tahoma"/>
            <family val="2"/>
            <charset val="204"/>
          </rPr>
          <t xml:space="preserve">
Если плитный материал на наруж стенах ОСП или фанера</t>
        </r>
      </text>
    </comment>
    <comment ref="J226" authorId="1" shapeId="0" xr:uid="{00000000-0006-0000-0500-000015000000}">
      <text>
        <r>
          <rPr>
            <sz val="9"/>
            <rFont val="Tahoma"/>
            <family val="2"/>
            <charset val="204"/>
          </rPr>
          <t>======
STRVyatka    (2021-07-07 06:44:37)
Если макси, то посмотреть спецификацию панелей (монтируется на производстве или нет)</t>
        </r>
      </text>
    </comment>
    <comment ref="J260" authorId="1" shapeId="0" xr:uid="{00000000-0006-0000-0500-000016000000}">
      <text>
        <r>
          <rPr>
            <sz val="9"/>
            <rFont val="Tahoma"/>
            <family val="2"/>
            <charset val="204"/>
          </rPr>
          <t>======
ID#AAAAMmCFiBg
STRVyatka    (2021-07-07 06:44:37)
50мл/м.пог. Периметр горизонтального стыка * расход на м.пог. И / на объем упаковки (600мл)</t>
        </r>
      </text>
    </comment>
    <comment ref="J314" authorId="1" shapeId="0" xr:uid="{00000000-0006-0000-0500-000017000000}">
      <text>
        <r>
          <rPr>
            <sz val="9"/>
            <rFont val="Tahoma"/>
            <family val="2"/>
            <charset val="204"/>
          </rPr>
          <t>======
ID#AAAAMmCFiBs
STRVyatka    (2021-07-07 06:44:37)
по 2 самореза на каждую балку перекрытия</t>
        </r>
      </text>
    </comment>
    <comment ref="J329" authorId="1" shapeId="0" xr:uid="{00000000-0006-0000-0500-000018000000}">
      <text>
        <r>
          <rPr>
            <sz val="9"/>
            <rFont val="Tahoma"/>
            <family val="2"/>
            <charset val="204"/>
          </rPr>
          <t>======
ID#AAAAMmCFiBc
STRVyatka    (2021-07-07 06:44:37)
если есть в домокомплекте, то в расчет доску не берем, ставим только для расчета антисептика, Для новой доски считай ее площадь в столб F.</t>
        </r>
      </text>
    </comment>
    <comment ref="J330" authorId="1" shapeId="0" xr:uid="{00000000-0006-0000-0500-000019000000}">
      <text>
        <r>
          <rPr>
            <sz val="9"/>
            <rFont val="Tahoma"/>
            <family val="2"/>
            <charset val="204"/>
          </rPr>
          <t>======
ID#AAAAMmCFiBQ
STRVyatka    (2021-07-07 06:44:37)
если есть в домокомплекте, то в расчет доску не берем, ставим только для расчета антисептика, Для новой доски считай ее площадь в столб F.</t>
        </r>
      </text>
    </comment>
    <comment ref="J331" authorId="1" shapeId="0" xr:uid="{00000000-0006-0000-0500-00001A000000}">
      <text>
        <r>
          <rPr>
            <sz val="9"/>
            <rFont val="Tahoma"/>
            <family val="2"/>
            <charset val="204"/>
          </rPr>
          <t>======
ID#AAAAMmCFiCE
STRVyatka    (2021-07-07 06:44:37)
если есть в домокомплекте, то в расчет доску не берем, ставим только для расчета антисептика, Для новой доски считай ее площадь.</t>
        </r>
      </text>
    </comment>
    <comment ref="J393" authorId="2" shapeId="0" xr:uid="{00000000-0006-0000-0500-00001B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 через торцевую доску в обвязку фундамента с шагом 1000</t>
        </r>
      </text>
    </comment>
    <comment ref="J394" authorId="2" shapeId="0" xr:uid="{00000000-0006-0000-0500-00001C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Панели между собой с шагом 1000 (минимум 3шт. На сторону)</t>
        </r>
      </text>
    </comment>
    <comment ref="J396" authorId="2" shapeId="0" xr:uid="{00000000-0006-0000-0500-00001D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Стык панелей с шагом 150</t>
        </r>
      </text>
    </comment>
    <comment ref="J428" authorId="2" shapeId="0" xr:uid="{00000000-0006-0000-0500-00001E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Стык панелей с шагом 150</t>
        </r>
      </text>
    </comment>
    <comment ref="J429" authorId="2" shapeId="0" xr:uid="{00000000-0006-0000-0500-00001F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 через торцевую доску в обвязку фундамента с шагом 300</t>
        </r>
      </text>
    </comment>
    <comment ref="J430" authorId="2" shapeId="0" xr:uid="{00000000-0006-0000-0500-000020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Панели между собой с шагом 1000 (минимум 3шт. На сторону)</t>
        </r>
      </text>
    </comment>
    <comment ref="J434" authorId="0" shapeId="0" xr:uid="{00000000-0006-0000-0500-000021000000}">
      <text>
        <r>
          <rPr>
            <b/>
            <sz val="9"/>
            <color indexed="81"/>
            <rFont val="Tahoma"/>
            <family val="2"/>
            <charset val="204"/>
          </rPr>
          <t>70мл на 1 м.пог.</t>
        </r>
      </text>
    </comment>
    <comment ref="J465" authorId="0" shapeId="0" xr:uid="{00000000-0006-0000-0500-000022000000}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на каждую стропильныю ногу
</t>
        </r>
      </text>
    </comment>
    <comment ref="J466" authorId="0" shapeId="0" xr:uid="{00000000-0006-0000-0500-000023000000}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между панелями с шагом 600
</t>
        </r>
      </text>
    </comment>
    <comment ref="J497" authorId="1" shapeId="0" xr:uid="{00000000-0006-0000-0500-000024000000}">
      <text>
        <r>
          <rPr>
            <sz val="9"/>
            <rFont val="Tahoma"/>
            <family val="2"/>
            <charset val="204"/>
          </rPr>
          <t>======
ID#AAAAMmCFiA4
STRVyatka    (2021-07-07 06:44:37)
Смотри ТЗ, при ГКЛ не надо</t>
        </r>
      </text>
    </comment>
    <comment ref="J500" authorId="1" shapeId="0" xr:uid="{00000000-0006-0000-0500-000025000000}">
      <text>
        <r>
          <rPr>
            <sz val="9"/>
            <rFont val="Tahoma"/>
            <family val="2"/>
            <charset val="204"/>
          </rPr>
          <t>======
ID#AAAAMmCFiCk
STRVyatka    (2021-07-07 06:44:37)
соединение пленки между панелями (высоту панели на кол-во стыков)</t>
        </r>
      </text>
    </comment>
    <comment ref="J509" authorId="1" shapeId="0" xr:uid="{00000000-0006-0000-0500-000026000000}">
      <text>
        <r>
          <rPr>
            <sz val="9"/>
            <rFont val="Tahoma"/>
            <family val="2"/>
            <charset val="204"/>
          </rPr>
          <t>считать с шагом 300 по периметру внут стен и перегородок</t>
        </r>
      </text>
    </comment>
    <comment ref="J511" authorId="1" shapeId="0" xr:uid="{00000000-0006-0000-0500-000027000000}">
      <text>
        <r>
          <rPr>
            <sz val="9"/>
            <rFont val="Tahoma"/>
            <family val="2"/>
            <charset val="204"/>
          </rPr>
          <t>======
ID#AAAAMmCFiCI
STRVyatka    (2021-07-07 06:44:37)
Только перегородки
Клеится змейкой на м/пог обвязки 70мг</t>
        </r>
      </text>
    </comment>
    <comment ref="J518" authorId="1" shapeId="0" xr:uid="{00000000-0006-0000-0500-000028000000}">
      <text>
        <r>
          <rPr>
            <sz val="9"/>
            <rFont val="Tahoma"/>
            <family val="2"/>
            <charset val="204"/>
          </rPr>
          <t>======
ID#AAAAMmCFiB4
STRVyatka    (2021-07-07 06:44:37)
с двух сторон</t>
        </r>
      </text>
    </comment>
    <comment ref="C546" authorId="1" shapeId="0" xr:uid="{00000000-0006-0000-0500-000029000000}">
      <text>
        <r>
          <rPr>
            <sz val="9"/>
            <rFont val="Tahoma"/>
            <family val="2"/>
            <charset val="204"/>
          </rPr>
          <t>======
ID#AAAAMmCFiCs
STRVyatka    (2021-07-07 06:44:37)
Кол-во панелей</t>
        </r>
      </text>
    </comment>
    <comment ref="J549" authorId="1" shapeId="0" xr:uid="{00000000-0006-0000-0500-00002A000000}">
      <text>
        <r>
          <rPr>
            <sz val="9"/>
            <rFont val="Tahoma"/>
            <family val="2"/>
            <charset val="204"/>
          </rPr>
          <t>======
ID#AAAAMmCFiBE
STRVyatka    (2021-07-07 06:44:37)
на мидл 1 лист на 10 панелей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P2" authorId="0" shapeId="0" xr:uid="{00000000-0006-0000-0600-000001000000}">
      <text>
        <r>
          <rPr>
            <sz val="11"/>
            <color theme="1"/>
            <rFont val="Calibri"/>
            <family val="2"/>
            <charset val="204"/>
            <scheme val="minor"/>
          </rPr>
          <t>======
ID#AAAAW6xDeWI
user    (2022-03-15 14:26:30)
изоплат или гипс 126
фанера или осб 99
без обшивки 65
Макси 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<sst xmlns="http://schemas.openxmlformats.org/spreadsheetml/2006/main" count="3801" uniqueCount="1197">
  <si>
    <t>ID проекта:</t>
  </si>
  <si>
    <t>Сечение, мм</t>
  </si>
  <si>
    <t>Длина, мм</t>
  </si>
  <si>
    <t>Кол-во</t>
  </si>
  <si>
    <t>Объём, м³</t>
  </si>
  <si>
    <t>Цвет</t>
  </si>
  <si>
    <t>Слой</t>
  </si>
  <si>
    <t>Площадь грани №1</t>
  </si>
  <si>
    <t>Площадь грани №2</t>
  </si>
  <si>
    <t>ID</t>
  </si>
  <si>
    <t>ФИО заказчика:</t>
  </si>
  <si>
    <t>Проект:</t>
  </si>
  <si>
    <t>Данные о проекте</t>
  </si>
  <si>
    <t>Дизайнер:</t>
  </si>
  <si>
    <t>Нарезка</t>
  </si>
  <si>
    <t>Фермы</t>
  </si>
  <si>
    <t>Балки на МЗП</t>
  </si>
  <si>
    <t>Панели</t>
  </si>
  <si>
    <t>Клееные элементы</t>
  </si>
  <si>
    <t>Материалы для изготовления панелей</t>
  </si>
  <si>
    <t xml:space="preserve">Дополнительные материалы </t>
  </si>
  <si>
    <t>AF1 НПС1</t>
  </si>
  <si>
    <t>AF studs ext2</t>
  </si>
  <si>
    <t>AF Planks Int</t>
  </si>
  <si>
    <t>AF cladding</t>
  </si>
  <si>
    <t>AF0 Пакет обвязки</t>
  </si>
  <si>
    <t>AF floor обрешетка</t>
  </si>
  <si>
    <t>AF Planks</t>
  </si>
  <si>
    <t>AF studs ext1</t>
  </si>
  <si>
    <t>AF floor planks</t>
  </si>
  <si>
    <t>20x40</t>
  </si>
  <si>
    <t>20x45</t>
  </si>
  <si>
    <t>20x90</t>
  </si>
  <si>
    <t>20x140</t>
  </si>
  <si>
    <t>20x190</t>
  </si>
  <si>
    <t>21x145</t>
  </si>
  <si>
    <t>25x100</t>
  </si>
  <si>
    <t>25x150</t>
  </si>
  <si>
    <t>30x40</t>
  </si>
  <si>
    <t>30x65</t>
  </si>
  <si>
    <t>35x90</t>
  </si>
  <si>
    <t>35x140</t>
  </si>
  <si>
    <t>35x190</t>
  </si>
  <si>
    <t>40x100</t>
  </si>
  <si>
    <t>45x45</t>
  </si>
  <si>
    <t>45x90</t>
  </si>
  <si>
    <t>45x140</t>
  </si>
  <si>
    <t>45x190</t>
  </si>
  <si>
    <t>50x100</t>
  </si>
  <si>
    <t>50x150</t>
  </si>
  <si>
    <t>50x200</t>
  </si>
  <si>
    <t>50x300</t>
  </si>
  <si>
    <t>55x45</t>
  </si>
  <si>
    <t>60x300</t>
  </si>
  <si>
    <t>80x320</t>
  </si>
  <si>
    <t>100x200</t>
  </si>
  <si>
    <t>100x320</t>
  </si>
  <si>
    <t>120x240</t>
  </si>
  <si>
    <t>140x160</t>
  </si>
  <si>
    <t>140x200</t>
  </si>
  <si>
    <t>140x240</t>
  </si>
  <si>
    <t>140x280</t>
  </si>
  <si>
    <t>140x320</t>
  </si>
  <si>
    <t>140x360</t>
  </si>
  <si>
    <t>180x180</t>
  </si>
  <si>
    <t>180x240</t>
  </si>
  <si>
    <t>180x360</t>
  </si>
  <si>
    <t>180x440</t>
  </si>
  <si>
    <t>200x240</t>
  </si>
  <si>
    <t>240x240</t>
  </si>
  <si>
    <t>Длина доски мм</t>
  </si>
  <si>
    <t>Сечение мм</t>
  </si>
  <si>
    <t>Стандартные длины доски</t>
  </si>
  <si>
    <t>N/A</t>
  </si>
  <si>
    <t>Кровельные панели</t>
  </si>
  <si>
    <t>Цокольные панели</t>
  </si>
  <si>
    <t>Материал</t>
  </si>
  <si>
    <t>AFn1 Подшивная доска</t>
  </si>
  <si>
    <t>AF Roof вентбрусок</t>
  </si>
  <si>
    <t>AF Roof подшив потолка</t>
  </si>
  <si>
    <t>AF Roof Обрешетка</t>
  </si>
  <si>
    <t>AFn1 Лобовая доска</t>
  </si>
  <si>
    <t>AF Roof Planks</t>
  </si>
  <si>
    <t>AF3 Связи ферм (крестовые)</t>
  </si>
  <si>
    <t>AF3 Связи ферм (диагональные)</t>
  </si>
  <si>
    <t>AF3 Связи ферм (фронтонные)</t>
  </si>
  <si>
    <t>AF3 Стропильная система</t>
  </si>
  <si>
    <t>AF floor настил</t>
  </si>
  <si>
    <t>AF4 Столбы и балки (крашеные)</t>
  </si>
  <si>
    <t>AF floor planks (терраса, крыльцо)</t>
  </si>
  <si>
    <t>AF ВПС</t>
  </si>
  <si>
    <t>AF board ext</t>
  </si>
  <si>
    <t>AF4 Столбы и балки (без покраски) внутри дома</t>
  </si>
  <si>
    <t>AF floor boards</t>
  </si>
  <si>
    <t>Все слои</t>
  </si>
  <si>
    <t>Материал для покраски панели</t>
  </si>
  <si>
    <t>Материал для покраски стройка</t>
  </si>
  <si>
    <t>Панели кровельные</t>
  </si>
  <si>
    <t>Панели перекрытия</t>
  </si>
  <si>
    <t>Все категории применения</t>
  </si>
  <si>
    <t>Категории применения</t>
  </si>
  <si>
    <t>Красим</t>
  </si>
  <si>
    <t>НЕ красим</t>
  </si>
  <si>
    <t>Все варианты покраски</t>
  </si>
  <si>
    <t>Покраска</t>
  </si>
  <si>
    <t>№ Детали</t>
  </si>
  <si>
    <t>Стоимость материалов</t>
  </si>
  <si>
    <t>масса м3</t>
  </si>
  <si>
    <t>Строганый пиломатериал (обр)</t>
  </si>
  <si>
    <t>руб.</t>
  </si>
  <si>
    <t>Строганый пиломатериал (необ)</t>
  </si>
  <si>
    <t>Нестроганый пиломатериал</t>
  </si>
  <si>
    <t>ОСБ-3 2500*1250*9 мм</t>
  </si>
  <si>
    <t>ОСБ-3 2500*1250*12 мм</t>
  </si>
  <si>
    <t>Изоплат 2700*1200*12 мм</t>
  </si>
  <si>
    <t>Изоплат 2700*1200*25 мм</t>
  </si>
  <si>
    <t>Фанера 1220*2440*8мм</t>
  </si>
  <si>
    <t>Фанера 1220*2440*10мм</t>
  </si>
  <si>
    <t>Фанера 2500*1250*8мм</t>
  </si>
  <si>
    <t>Фанера 2500*1250*10мм</t>
  </si>
  <si>
    <t>ОСБ-3 2500*1250*18 мм</t>
  </si>
  <si>
    <t>ОСБ-3 2500*1250*22 мм</t>
  </si>
  <si>
    <t>Утеплитель Paroc 100</t>
  </si>
  <si>
    <t>Утеплитель Paroc 50</t>
  </si>
  <si>
    <t>Утеплитель Knauf 100</t>
  </si>
  <si>
    <t>Утеплитель Knauf 50</t>
  </si>
  <si>
    <t>Утеплитель ROCKWOOL 100</t>
  </si>
  <si>
    <t>Утеплитель ROCKWOOL 50</t>
  </si>
  <si>
    <t xml:space="preserve">Пароизоляция </t>
  </si>
  <si>
    <t>Гвозди барабанные(фасад)</t>
  </si>
  <si>
    <t>Гвозди барабанные(каркас)</t>
  </si>
  <si>
    <t>Гвозди барабанные(плит. мат.)</t>
  </si>
  <si>
    <t>Шелтер</t>
  </si>
  <si>
    <t>Саморез 4,2*90</t>
  </si>
  <si>
    <t>Саморез 3,5*50</t>
  </si>
  <si>
    <t>Саморез 4*45</t>
  </si>
  <si>
    <t>Ремни погрузочные</t>
  </si>
  <si>
    <t>Скобы для степлера</t>
  </si>
  <si>
    <t>Скотч Delta</t>
  </si>
  <si>
    <t>ВВЗ Тайвек</t>
  </si>
  <si>
    <t>Брусок 45*45*6000</t>
  </si>
  <si>
    <t>Брусок 45*55*6000</t>
  </si>
  <si>
    <t>Доска 20*90*6000</t>
  </si>
  <si>
    <t>Доска 20*140*6000</t>
  </si>
  <si>
    <t>Доска 20*190*6000</t>
  </si>
  <si>
    <t>Доска UYV</t>
  </si>
  <si>
    <t>Брусок 20*40*3000</t>
  </si>
  <si>
    <t>Брусок 30*40*3000</t>
  </si>
  <si>
    <t>Дюймовка</t>
  </si>
  <si>
    <t>Брусок 30*65*4000</t>
  </si>
  <si>
    <t>Сетка металлиечская</t>
  </si>
  <si>
    <t>Пена монтажная</t>
  </si>
  <si>
    <t>Технониколь 508</t>
  </si>
  <si>
    <t>Липлент Сд-70 (исполнение 2)</t>
  </si>
  <si>
    <t>Липлент Мфтс-70</t>
  </si>
  <si>
    <t>Сетка Антимоскитная</t>
  </si>
  <si>
    <t>Расценки по работе</t>
  </si>
  <si>
    <t>Изготовление панелей</t>
  </si>
  <si>
    <t>м2</t>
  </si>
  <si>
    <t>Изготовление нарезки</t>
  </si>
  <si>
    <t>м3</t>
  </si>
  <si>
    <t>Монтаж МЗП на фермы</t>
  </si>
  <si>
    <t>пара</t>
  </si>
  <si>
    <t>Монтаж МЗП на балки</t>
  </si>
  <si>
    <t>Погрузка панелей</t>
  </si>
  <si>
    <t>Погрузка нарезки</t>
  </si>
  <si>
    <t>Погрузка плитных материалов</t>
  </si>
  <si>
    <t>Проектирование</t>
  </si>
  <si>
    <t>Менеджер</t>
  </si>
  <si>
    <t>%</t>
  </si>
  <si>
    <t>Доставка доски покрасочная</t>
  </si>
  <si>
    <t>шт</t>
  </si>
  <si>
    <t>Доставка пластин Стилкэп</t>
  </si>
  <si>
    <t>Доставка пластин Митек</t>
  </si>
  <si>
    <t>Доставка клееного бруса</t>
  </si>
  <si>
    <t>Доставка прочих материалов</t>
  </si>
  <si>
    <t>Погрузка панелей Maxi</t>
  </si>
  <si>
    <t>Панели / отправка</t>
  </si>
  <si>
    <t>Варианты распределения</t>
  </si>
  <si>
    <t>Отправка</t>
  </si>
  <si>
    <t>Переменные</t>
  </si>
  <si>
    <t>Ширина реза мм</t>
  </si>
  <si>
    <t>Невидимки</t>
  </si>
  <si>
    <t>Длина</t>
  </si>
  <si>
    <t>Ширина</t>
  </si>
  <si>
    <t>Высота</t>
  </si>
  <si>
    <t xml:space="preserve">S м² без проёмов </t>
  </si>
  <si>
    <t xml:space="preserve">S м² общ. </t>
  </si>
  <si>
    <t>P мм общ.</t>
  </si>
  <si>
    <t>P мм проёмы</t>
  </si>
  <si>
    <t>AF floor planks (Панели)</t>
  </si>
  <si>
    <t>00 СТРОЙКА</t>
  </si>
  <si>
    <t>Cover boards</t>
  </si>
  <si>
    <t>AF Фальш-потолок</t>
  </si>
  <si>
    <t>AF Planks Int (Панели)</t>
  </si>
  <si>
    <t>AF board int</t>
  </si>
  <si>
    <t>AF floor boards (Панели)</t>
  </si>
  <si>
    <t>AF Roof пароизоляция</t>
  </si>
  <si>
    <t>AF Roof ВВЗ</t>
  </si>
  <si>
    <t>AF floor Сетка</t>
  </si>
  <si>
    <t>AF floor ВВЗ</t>
  </si>
  <si>
    <t>Грунтовка</t>
  </si>
  <si>
    <t>Краска 1</t>
  </si>
  <si>
    <t>Краска 2</t>
  </si>
  <si>
    <t>Расход краски л/м^2</t>
  </si>
  <si>
    <t>плитные материалы</t>
  </si>
  <si>
    <t>Проверка после сдачи дом</t>
  </si>
  <si>
    <t>пиломатериал</t>
  </si>
  <si>
    <t>Ф.И.О. заказчика</t>
  </si>
  <si>
    <t>Контрольная карта для всего остального</t>
  </si>
  <si>
    <t>неизменно</t>
  </si>
  <si>
    <t>вайгач</t>
  </si>
  <si>
    <t>считается вручную</t>
  </si>
  <si>
    <t>плёнки</t>
  </si>
  <si>
    <t>считается само</t>
  </si>
  <si>
    <t>метиз</t>
  </si>
  <si>
    <t>спросить у вани</t>
  </si>
  <si>
    <t>спец.крепеж</t>
  </si>
  <si>
    <t>краска</t>
  </si>
  <si>
    <t>в стройке</t>
  </si>
  <si>
    <t>стройбат</t>
  </si>
  <si>
    <t>леруа</t>
  </si>
  <si>
    <t>в домокомплекте</t>
  </si>
  <si>
    <t>проёмы</t>
  </si>
  <si>
    <t>площадь/раздел</t>
  </si>
  <si>
    <t>место</t>
  </si>
  <si>
    <t>поставщик</t>
  </si>
  <si>
    <t>наименование</t>
  </si>
  <si>
    <t>кол-во</t>
  </si>
  <si>
    <t>ед. изм</t>
  </si>
  <si>
    <t>пояснение</t>
  </si>
  <si>
    <t>как считать</t>
  </si>
  <si>
    <t>Важное для мастера СМР и передается в первую очередь (заранее КК)</t>
  </si>
  <si>
    <t>Петли, крючки/шпингалет для фронтонных дверей</t>
  </si>
  <si>
    <t>вентиляция</t>
  </si>
  <si>
    <t>есть</t>
  </si>
  <si>
    <t>Утепление Вентиляции</t>
  </si>
  <si>
    <t>м.пог.</t>
  </si>
  <si>
    <t>Клей пена для утепления вентиляции</t>
  </si>
  <si>
    <t>баллонов</t>
  </si>
  <si>
    <t>Двери металлические</t>
  </si>
  <si>
    <t>Окна пластиковые</t>
  </si>
  <si>
    <t>Фановая труба</t>
  </si>
  <si>
    <t>краска для подкраски (Y401)</t>
  </si>
  <si>
    <t>краска для подкраски (RAL  9010)</t>
  </si>
  <si>
    <t>краска для подкраски (RAL 7024 Тиккурила)</t>
  </si>
  <si>
    <t>Сменные носики для герметика 600 мл</t>
  </si>
  <si>
    <t>Вспомогательные инструменты:</t>
  </si>
  <si>
    <t>Нейлер,аккамуляторный</t>
  </si>
  <si>
    <t>Пневмо-пистолет на фасад</t>
  </si>
  <si>
    <t>Стяжки для больших панелей</t>
  </si>
  <si>
    <t>Лобзик</t>
  </si>
  <si>
    <t>электрорубанок</t>
  </si>
  <si>
    <t>шнурка</t>
  </si>
  <si>
    <t>Инструмент на фальц</t>
  </si>
  <si>
    <t>Фрезер</t>
  </si>
  <si>
    <t xml:space="preserve">уточнять что есть </t>
  </si>
  <si>
    <t xml:space="preserve">пистолет для пены монтажной </t>
  </si>
  <si>
    <t xml:space="preserve">степлер строительный </t>
  </si>
  <si>
    <t xml:space="preserve">пистолет для герметика </t>
  </si>
  <si>
    <t>Фен.для Ги.балкона</t>
  </si>
  <si>
    <t>Шлиф машинка при клееном брусе</t>
  </si>
  <si>
    <t>Диск Мультирез</t>
  </si>
  <si>
    <t>Компрессор</t>
  </si>
  <si>
    <t xml:space="preserve">Документы бригаде </t>
  </si>
  <si>
    <t>Доверенность</t>
  </si>
  <si>
    <t xml:space="preserve">Инструкция </t>
  </si>
  <si>
    <t xml:space="preserve">Акты на материалы </t>
  </si>
  <si>
    <t xml:space="preserve">Список погрузки машины </t>
  </si>
  <si>
    <t xml:space="preserve">Проект в 2-х эксземплярах </t>
  </si>
  <si>
    <t xml:space="preserve">Узлы </t>
  </si>
  <si>
    <t xml:space="preserve">Тех задание </t>
  </si>
  <si>
    <t>Раскладки(OSB,ГКЛ,фасад ,доска под подшив,терраса )</t>
  </si>
  <si>
    <t>Фахверк</t>
  </si>
  <si>
    <t>Опорный брус</t>
  </si>
  <si>
    <t>конструкционный саморез 8*220 цинк</t>
  </si>
  <si>
    <t>шт.</t>
  </si>
  <si>
    <t>Для крепления опорного бруса фахверка к пакету из досок</t>
  </si>
  <si>
    <t>Другое</t>
  </si>
  <si>
    <t>Изолон ППЭ 8*1,0 (808)</t>
  </si>
  <si>
    <t>Между опорным брусом фахверка и фундаментом</t>
  </si>
  <si>
    <t xml:space="preserve">Анкерный болт диам. 12 мм. L=220 </t>
  </si>
  <si>
    <t>Крепление опорного бруса фахверка к бетону</t>
  </si>
  <si>
    <t>шаг 1000 мм + крайние</t>
  </si>
  <si>
    <t>сверло по дереву на 12*150</t>
  </si>
  <si>
    <t>для предварительного сверления бруса</t>
  </si>
  <si>
    <t>Уточнить у Димы елькина</t>
  </si>
  <si>
    <t>сверло перьевое 25 мм</t>
  </si>
  <si>
    <t>для заглубления анкера в брус</t>
  </si>
  <si>
    <t>на 40 отверствий</t>
  </si>
  <si>
    <t>Химторг</t>
  </si>
  <si>
    <t>клей для чепиков, PUR 501</t>
  </si>
  <si>
    <t>л.</t>
  </si>
  <si>
    <t>Вклейка где установленн анкерный болт</t>
  </si>
  <si>
    <t>расход и тип нужно узнавать</t>
  </si>
  <si>
    <t>Чоп деревянный</t>
  </si>
  <si>
    <t>Бур по бетону 12*310 (343)SDs-PlusDewalt</t>
  </si>
  <si>
    <t xml:space="preserve">для того, чтобы делать отверстия под шурупы </t>
  </si>
  <si>
    <t>думаю порядка 20 отверствий</t>
  </si>
  <si>
    <t>Монтаж бруса</t>
  </si>
  <si>
    <t>ПСУЛ Баусет СТ-III 30/8-10</t>
  </si>
  <si>
    <t>Монтаж Стеклопакетов (см. узлы)</t>
  </si>
  <si>
    <t>Вилотерм 6 мм жгут</t>
  </si>
  <si>
    <t>Герметик Для безрамных СП   Bostik 2720 MS. 600 мл</t>
  </si>
  <si>
    <t>туба</t>
  </si>
  <si>
    <t>1 туба на 20 м.пог.</t>
  </si>
  <si>
    <t>Лента уплотнительная Knauf Дихтунгсбанд 50 мм x 30 м (Цвет)</t>
  </si>
  <si>
    <t>на соединение бруса фахверка</t>
  </si>
  <si>
    <t>1 метр на соединение</t>
  </si>
  <si>
    <t xml:space="preserve">подкладная доска </t>
  </si>
  <si>
    <t>Доска 45х90х6000</t>
  </si>
  <si>
    <t>На подкладную доску</t>
  </si>
  <si>
    <t>Доска 45х140х6000</t>
  </si>
  <si>
    <t>подкладная доска</t>
  </si>
  <si>
    <t>ОДФ</t>
  </si>
  <si>
    <t>Пена Penosil gold gun (833)</t>
  </si>
  <si>
    <t>Для неровностей под подкладную</t>
  </si>
  <si>
    <t>под подкладную доску(Нарезать)</t>
  </si>
  <si>
    <t>Плёнка п/эт 1500*200мкр рукав А</t>
  </si>
  <si>
    <t>на грунт  от испарений на ленточном фундаменте</t>
  </si>
  <si>
    <t>Шуруп по бетону 7,5*152 (342) wkret-met</t>
  </si>
  <si>
    <t>для крепления подкладной доски</t>
  </si>
  <si>
    <t>шаг 600мм + крайние</t>
  </si>
  <si>
    <t>биты TORX 30</t>
  </si>
  <si>
    <t>Если есть Шуруп по бетону 7,5*152(для подкладной доски)</t>
  </si>
  <si>
    <t>фанера (толщину уточнить у мастера )</t>
  </si>
  <si>
    <t>1шт</t>
  </si>
  <si>
    <t xml:space="preserve">для регулировки  неровностей фундамента </t>
  </si>
  <si>
    <t>1 штука</t>
  </si>
  <si>
    <t>Бур по бетону 6*310 (343)SDs-PlusDewalt</t>
  </si>
  <si>
    <t>на 45 отверстий один бур</t>
  </si>
  <si>
    <t>пакет досок</t>
  </si>
  <si>
    <t>Доска 45*190*6000 для обвязки (антисептированная) (590)</t>
  </si>
  <si>
    <t>пакет досок обвязки фундамента</t>
  </si>
  <si>
    <t>Доска 45*140*6000 для обвязки (антисептированная)</t>
  </si>
  <si>
    <t>отсечная ГИ Технониколь 0,2*15 м (014)</t>
  </si>
  <si>
    <t>рулонов</t>
  </si>
  <si>
    <t>на оголовок сваи</t>
  </si>
  <si>
    <t>1 рулон на 45 свай</t>
  </si>
  <si>
    <t>Гвозди 3,4*90 ершеные цинк (304)</t>
  </si>
  <si>
    <t>для скрепления досок в пакет обвязки</t>
  </si>
  <si>
    <t>21 шт на одну доску</t>
  </si>
  <si>
    <t>Шурупы 8*120 ш//гр цинк (336)</t>
  </si>
  <si>
    <t>для крепления пакета обвязки на сваях</t>
  </si>
  <si>
    <t>6 шт на сваю</t>
  </si>
  <si>
    <t>Шайба D 8 увеличенная цинк (330)</t>
  </si>
  <si>
    <t>Каркас</t>
  </si>
  <si>
    <t>Доска запаса</t>
  </si>
  <si>
    <t>Доска 45х190х6000</t>
  </si>
  <si>
    <t>каркас</t>
  </si>
  <si>
    <t>Угол крепёжный соеденит. Усиленный 90° 70*70 цинк (326)</t>
  </si>
  <si>
    <t>уголок на стропилку</t>
  </si>
  <si>
    <t>Держатель балки 40х170х40х2 цинк (левый)</t>
  </si>
  <si>
    <t>крепление ферм (Сейсмика)</t>
  </si>
  <si>
    <t>Держатель балки 40х170х40х2 цинк (правый)</t>
  </si>
  <si>
    <t>Угол крепёжный соеденит. усиленный 100*100 цинк (326)</t>
  </si>
  <si>
    <t>Угол крепёжный соеденит. Усиленный 135° 70*70 цинк (326)</t>
  </si>
  <si>
    <t>уголок на стропилку(ендова)</t>
  </si>
  <si>
    <t>Соединительная пластина 240*80*2 мм цинк (325)</t>
  </si>
  <si>
    <t>пластина на стропилку</t>
  </si>
  <si>
    <t>Опора скрытого крепежа Цинк 160x65 мм</t>
  </si>
  <si>
    <t>На балки и стропилку без каких либо упоров</t>
  </si>
  <si>
    <t>Опора бруса 50х140 открытая</t>
  </si>
  <si>
    <t>Опора бруса 50х165 открытая</t>
  </si>
  <si>
    <t>Опора бруса 100х140 открытая</t>
  </si>
  <si>
    <t>Опора бруса 100х165 открытая</t>
  </si>
  <si>
    <t>Опора бруса 150х150 открытая</t>
  </si>
  <si>
    <t>Опора бруса 50х140 закрытая</t>
  </si>
  <si>
    <t>Опора бруса 50х165 закрытая</t>
  </si>
  <si>
    <t>Опора бруса 100х140 закрытая</t>
  </si>
  <si>
    <t>Опора бруса 100х165 закрытая</t>
  </si>
  <si>
    <t>Опора бруса 150х150 закрытая</t>
  </si>
  <si>
    <t>Крепеж конькового бруса</t>
  </si>
  <si>
    <t>Для крепления конькового бруса при теплой кровли</t>
  </si>
  <si>
    <t>для сборки каркаса нарезаными в размер элементами</t>
  </si>
  <si>
    <t>Гвоздь ершеный оцинкованный 4*40 мм (308)</t>
  </si>
  <si>
    <t xml:space="preserve">для уголков, опор, пластин, держателей </t>
  </si>
  <si>
    <t>Болт шестигранные цинк 12*150 (302)</t>
  </si>
  <si>
    <t>На опору скрытого крепежа</t>
  </si>
  <si>
    <t>Шайба D 12 увеличенная цинк (329)</t>
  </si>
  <si>
    <t>Гайка М 12 шестигранная (303)</t>
  </si>
  <si>
    <t>Саморезы 80 кр/шаг желтый цинк</t>
  </si>
  <si>
    <t>Для соединения ферм</t>
  </si>
  <si>
    <t>Саморез универсальный 5,5*110</t>
  </si>
  <si>
    <t>для крепления опорной доски настила террасы и крыльца</t>
  </si>
  <si>
    <t>смотри примечание</t>
  </si>
  <si>
    <t>Саморез 4,8*150 кр.шаг желтый цинк</t>
  </si>
  <si>
    <t>Для крепления стеновых панелей</t>
  </si>
  <si>
    <t>4 стойки вместе</t>
  </si>
  <si>
    <t>Саморез 4,8*130 кр.шаг желтый цинк</t>
  </si>
  <si>
    <t>3 стойки вместе</t>
  </si>
  <si>
    <t>пластина СК 78*203 / СК 92*203 / СК 106*203 (МЗП)</t>
  </si>
  <si>
    <t>для соединения панелей только по верхней обвязке</t>
  </si>
  <si>
    <t>Плита OSB-3 1525*1525*5мм</t>
  </si>
  <si>
    <t>листов</t>
  </si>
  <si>
    <t>Для формирования зазора колон внутрених несущих стен</t>
  </si>
  <si>
    <t>Сейсмика</t>
  </si>
  <si>
    <t>Болт шестигранные цинк 12*120</t>
  </si>
  <si>
    <t>Крепление Холд-даунов</t>
  </si>
  <si>
    <t>Шайба 14 увеличенная цинк</t>
  </si>
  <si>
    <t>Шайба 12 увеличенная цинк</t>
  </si>
  <si>
    <t>Гайка М 14 шестигранная цинк</t>
  </si>
  <si>
    <t>Гайка М 12 шестигранная цинк</t>
  </si>
  <si>
    <t>Шпилька М14х2000</t>
  </si>
  <si>
    <t>Холд-даун</t>
  </si>
  <si>
    <t>Анкер с гайкой 16х150 мм, желтый цинк</t>
  </si>
  <si>
    <t>Крепление Холд-даунов на плиту</t>
  </si>
  <si>
    <t>Саморез 6х45мм</t>
  </si>
  <si>
    <t>Металлическая пластина для Холд-даунов (см. чертеж)</t>
  </si>
  <si>
    <t>Лента монтажная перфорированая B40</t>
  </si>
  <si>
    <t>Усиление каркаса</t>
  </si>
  <si>
    <t>Крепление террасы к ЦП при УШП</t>
  </si>
  <si>
    <t>Закладная шпилька М22 (размер смотреть проект УШП)</t>
  </si>
  <si>
    <t>Уже смонтированны на УШП( не отправлять)</t>
  </si>
  <si>
    <t>1 ряд шаг 600 + по краям</t>
  </si>
  <si>
    <t>Шайба D 22 увеличенная цинк (329)</t>
  </si>
  <si>
    <t>шайба для крепления террасы к перекрытию</t>
  </si>
  <si>
    <t>Гайка М 22 шестигранная (303)</t>
  </si>
  <si>
    <t>гайка для крепления террасы к перекрытию</t>
  </si>
  <si>
    <t>Крепление террасы к ЦП(деревянное)</t>
  </si>
  <si>
    <t>болт для крепления террасы к цокольному перекрытию</t>
  </si>
  <si>
    <t>Спец. Крепеж</t>
  </si>
  <si>
    <t>конструкционный саморез 6*140</t>
  </si>
  <si>
    <t>Саморез для крепления террасы к цокольному перекрытию</t>
  </si>
  <si>
    <t>2 ряда шаг 600 + по краям</t>
  </si>
  <si>
    <t>Для отверстий под болт для крепления террасы</t>
  </si>
  <si>
    <t>Квадрат ФСФ 200*200*12</t>
  </si>
  <si>
    <t>Для формирования зазора опорной доски (на каждый болт)(берем когда есть изоплат)</t>
  </si>
  <si>
    <t>Шайбы 2 шт.</t>
  </si>
  <si>
    <t>шайба для крепления террасы к перекрытию ПРИ вставке квадрата ФСФ</t>
  </si>
  <si>
    <t>кол-во болтов*2шт</t>
  </si>
  <si>
    <t>шайба для крепления террасы к перекрытию БЕЗ вставки квадрата ФСФ</t>
  </si>
  <si>
    <t>кол-во болтов*6шт</t>
  </si>
  <si>
    <t>на каждый болт</t>
  </si>
  <si>
    <t>Спец. крепеж</t>
  </si>
  <si>
    <t>бита Torx 25</t>
  </si>
  <si>
    <t>Для саморезов  EuroTec PT 5*90 (скрепление панелей)</t>
  </si>
  <si>
    <t>бита Torx 30</t>
  </si>
  <si>
    <t>Для конструкционных саморезов  6х120…220</t>
  </si>
  <si>
    <t>конструкционный саморез 6*220</t>
  </si>
  <si>
    <t>конструкционный саморез 6*180</t>
  </si>
  <si>
    <t>Для стягивания ендовы</t>
  </si>
  <si>
    <t>конструкционный саморез 5*120</t>
  </si>
  <si>
    <t>конструкционный саморез EuroTec PT 5*90</t>
  </si>
  <si>
    <t>для крепления стеновых панелей</t>
  </si>
  <si>
    <t xml:space="preserve">Колонны на сваях </t>
  </si>
  <si>
    <t>Анкер регулировочный по высоте 24 *100*150 (Лифт колонны)</t>
  </si>
  <si>
    <t>для монтажа колонны на сваи</t>
  </si>
  <si>
    <t>При колоннах на обвязке анкер не нужен</t>
  </si>
  <si>
    <t>Болт шестигранный М 5х100 цинк</t>
  </si>
  <si>
    <t>Для лифта колонны</t>
  </si>
  <si>
    <t>Шайба D 5 Кузовная увеличенная цинк</t>
  </si>
  <si>
    <t>Гайка М 5 самоконтрящая цинк</t>
  </si>
  <si>
    <t>Сверло по металлу 6*100</t>
  </si>
  <si>
    <t>сверло по дереву на 24*150</t>
  </si>
  <si>
    <t>1 сверло Для лифта колонны</t>
  </si>
  <si>
    <t>ставим на металл</t>
  </si>
  <si>
    <t>Колонны на ЖБ внутри дома(отдельно стоящая</t>
  </si>
  <si>
    <t>Площадка для колонны ж/б основание</t>
  </si>
  <si>
    <t>считается в зависимости от  конструкции дома(внутри дома отдельностоящая)</t>
  </si>
  <si>
    <r>
      <t>Дюпель 8*Х(где Х толщина фундамента)</t>
    </r>
    <r>
      <rPr>
        <sz val="11"/>
        <color rgb="FFFF0000"/>
        <rFont val="Calibri"/>
        <family val="2"/>
        <charset val="204"/>
      </rPr>
      <t>!!при УШП не более 40!!</t>
    </r>
  </si>
  <si>
    <t>4 на колонну</t>
  </si>
  <si>
    <t>по 8 штук на колонну (когда есть площадка)</t>
  </si>
  <si>
    <t xml:space="preserve">Колонны на ЖБ </t>
  </si>
  <si>
    <t xml:space="preserve">для монтажа колонны на бетон </t>
  </si>
  <si>
    <t>бур по бетону 6*120(рабочая длина)</t>
  </si>
  <si>
    <t>Если есть подкладная доска то не нужно</t>
  </si>
  <si>
    <t>Глухарь 8*80  цинк (лифт колоны)</t>
  </si>
  <si>
    <t xml:space="preserve">метиз </t>
  </si>
  <si>
    <t>саморез по бетону 7,5 *92</t>
  </si>
  <si>
    <t xml:space="preserve">Защемление столбов </t>
  </si>
  <si>
    <t>Глухарь 6*160 цинк (334)</t>
  </si>
  <si>
    <t>защемление столбов террасы</t>
  </si>
  <si>
    <t>2-4 шт на колонну</t>
  </si>
  <si>
    <t>Глухарь 6*120 цинк (334)</t>
  </si>
  <si>
    <t>Межвенцовый утеплитель</t>
  </si>
  <si>
    <t>шелтер 200 мм</t>
  </si>
  <si>
    <t>м.пог</t>
  </si>
  <si>
    <t>теплоизоляция соединения панелей между собой, подкладной доски, сдвоеной обвязки стен и стропильной системы</t>
  </si>
  <si>
    <t>шелтер 150 мм</t>
  </si>
  <si>
    <t>шелтер 200х40 мм</t>
  </si>
  <si>
    <t>на соединения панелей ЦП по границе квартир здания</t>
  </si>
  <si>
    <t>х2</t>
  </si>
  <si>
    <t>укосины</t>
  </si>
  <si>
    <t>Доска 20х90х6000 для укосин (582)</t>
  </si>
  <si>
    <t>Укосины</t>
  </si>
  <si>
    <t>Доска 20х90х4000 для укосин (582)</t>
  </si>
  <si>
    <t>для крепления укосин</t>
  </si>
  <si>
    <t>шаг 600, 3 гвоздя в соединение</t>
  </si>
  <si>
    <t>связи жесткости</t>
  </si>
  <si>
    <t>Ветровые связи</t>
  </si>
  <si>
    <t>стропильные связи</t>
  </si>
  <si>
    <t>Доска 40х100х6000 1-2 сорт сухая строганная (антисептированная)</t>
  </si>
  <si>
    <t>Доска 40*90*6000 1-2 сорт сухая строганная</t>
  </si>
  <si>
    <t>Конструкционный саморез 6х160 мм цинк</t>
  </si>
  <si>
    <t>крепление опор настила чердачного перекрытия</t>
  </si>
  <si>
    <t>для крепления связей жесткости</t>
  </si>
  <si>
    <t>шаг 600, 2 гвоздя в соединение</t>
  </si>
  <si>
    <t>Гвозди 2,8 х 70 ершенные цинк (306)</t>
  </si>
  <si>
    <t>Дюймовка 25х100х6000 1-2 сорт (сухая)</t>
  </si>
  <si>
    <t>каркас фронтонов</t>
  </si>
  <si>
    <t>закладная пароизоляция</t>
  </si>
  <si>
    <t>Плёнка п/эт 1500*200мкр рукав А пароизоляции 300мм</t>
  </si>
  <si>
    <t>Примечание</t>
  </si>
  <si>
    <t xml:space="preserve">Скобы для степлера на 10 Тип 140 </t>
  </si>
  <si>
    <t>для крепления закладной пароизоляции</t>
  </si>
  <si>
    <t>скотч delta inside band</t>
  </si>
  <si>
    <t>для проклеивания закладной пароизоляции</t>
  </si>
  <si>
    <t xml:space="preserve">закладная ВВЗ </t>
  </si>
  <si>
    <t>Закладная ВВЗ, закладывается между ЦП и ПДКЛД или ЦП и НПС</t>
  </si>
  <si>
    <t>для крепления закладной ВВЗ</t>
  </si>
  <si>
    <t>скотч delta multi band</t>
  </si>
  <si>
    <t>для проклеивания закладной ВВЗ</t>
  </si>
  <si>
    <t>аэроэлемент</t>
  </si>
  <si>
    <t>Брусок 30х40х3000</t>
  </si>
  <si>
    <t>Аэроэлемент с двух сторон стропильной ноги</t>
  </si>
  <si>
    <t>Гвоздь 2,9*60 ершеный цинк (341)</t>
  </si>
  <si>
    <t>Для крепления бруска аэроэлемента</t>
  </si>
  <si>
    <t>Ветрозащита Изоспан A</t>
  </si>
  <si>
    <t>ВВЗ на аэроэлемент</t>
  </si>
  <si>
    <t>для проклейкти аэроэлемннта к фасадной ввз</t>
  </si>
  <si>
    <t>Длина рулона 25 м.</t>
  </si>
  <si>
    <t>для крепления ВВЗ Ароэлемента</t>
  </si>
  <si>
    <t>Утеплитель (закладной каркас)</t>
  </si>
  <si>
    <t>Paroc eXtra 1200*600*50мм</t>
  </si>
  <si>
    <t>14 шт в пачке</t>
  </si>
  <si>
    <t>Paroc eXtra 1200*600*100мм</t>
  </si>
  <si>
    <t>8 шт в пачке</t>
  </si>
  <si>
    <t>Paroc eXtra 1220*565*50мм</t>
  </si>
  <si>
    <t>Paroc eXtra 1220*565*100мм</t>
  </si>
  <si>
    <t>Knauf 1250*610*50мм</t>
  </si>
  <si>
    <t>Knauf 1250*610*100мм</t>
  </si>
  <si>
    <t>соединение ферм</t>
  </si>
  <si>
    <t>Гвозди 4*40 ершеные цинк (304)</t>
  </si>
  <si>
    <t>крепления пластин и вставок по фермам</t>
  </si>
  <si>
    <t>Смотреть сборочный чертеж</t>
  </si>
  <si>
    <t>крепления накладкок и вставок по фермам</t>
  </si>
  <si>
    <t>крыша</t>
  </si>
  <si>
    <t>ВВЗ (комплектация)</t>
  </si>
  <si>
    <t>Ветрозащита изоспан аs,qs/tyvek soft/solid 1,5*50m</t>
  </si>
  <si>
    <t>ВВЗ по кровле</t>
  </si>
  <si>
    <t>для крепления ВВЗ по кровле</t>
  </si>
  <si>
    <t>Клей-герметик soudflex 40 fc (601)</t>
  </si>
  <si>
    <t>тюбиков</t>
  </si>
  <si>
    <t>проклеиваются только стыки (дешевая комплектация)</t>
  </si>
  <si>
    <t>Для склеивания ВВЗ по кровле</t>
  </si>
  <si>
    <t>Тент строительный</t>
  </si>
  <si>
    <t>Для укрытия кровли</t>
  </si>
  <si>
    <t>брусок вентзазора</t>
  </si>
  <si>
    <t>вент зазор по кровле</t>
  </si>
  <si>
    <t>Для крепления бруска по кровле</t>
  </si>
  <si>
    <t>Брусок 45х45х6000</t>
  </si>
  <si>
    <t>Для крепления вентбруска по кровле</t>
  </si>
  <si>
    <t>Брусок 45х55х6000</t>
  </si>
  <si>
    <t>обрешетка</t>
  </si>
  <si>
    <t>обрешетка по кровле</t>
  </si>
  <si>
    <t>Дюймовка 25х150х6000 1-2 сорт (сухая)</t>
  </si>
  <si>
    <t>обрешетка по кровле (ендова)</t>
  </si>
  <si>
    <t>Для крепления обрешетки по кровле</t>
  </si>
  <si>
    <t>Для монтажа обрешетки  по кровле</t>
  </si>
  <si>
    <t>Доска 35х140х6000 1-2 сорт сухая калиброванная</t>
  </si>
  <si>
    <t>обрешетка  по кровле</t>
  </si>
  <si>
    <t>Доска 50х100х6000 2-3 сорт ЕВ</t>
  </si>
  <si>
    <t>Крепление обрешетки по кровле</t>
  </si>
  <si>
    <t>Сухая строганая доска 15*40*3000 сорт АВ</t>
  </si>
  <si>
    <t>по карнизу свесов при металлочерепице</t>
  </si>
  <si>
    <t xml:space="preserve">Фанера ФСФ 12*1220*2440 мм сорт 4/4 </t>
  </si>
  <si>
    <t>для полос фанеры по карнизу свесов при металлочерепице</t>
  </si>
  <si>
    <t>крепление рейки по карнизу свесов при металлочерепице</t>
  </si>
  <si>
    <t>ОСП плита</t>
  </si>
  <si>
    <t>Плита OSB-3 2500*1250*12 мм (новая в шт) (104)</t>
  </si>
  <si>
    <t>Краска пф масляная</t>
  </si>
  <si>
    <t xml:space="preserve">Для подкраски торцов OSB </t>
  </si>
  <si>
    <t>для osb,фанеры ,доски 20мм</t>
  </si>
  <si>
    <t>фасадная доска</t>
  </si>
  <si>
    <t>отделка фасадной доской, которая крепится на брусок или доску</t>
  </si>
  <si>
    <t>доска 20х140х6000 сорт А-В</t>
  </si>
  <si>
    <t>не крашенная (на отливы, доп доска)</t>
  </si>
  <si>
    <t>тонкопиленная поверхность 20*175</t>
  </si>
  <si>
    <t>тонкопиленная поверхность 20*90</t>
  </si>
  <si>
    <t>фасадная отделка (низ стен в зоне примыкания террасы)</t>
  </si>
  <si>
    <t>UYV 21*145*6000 с тонкопиленной поверхностью (цвет)</t>
  </si>
  <si>
    <t xml:space="preserve">фасадная отделка </t>
  </si>
  <si>
    <t>Гвоздь 2,9*60 горячей гальванизации ерш.</t>
  </si>
  <si>
    <t xml:space="preserve">на фасадную отделку </t>
  </si>
  <si>
    <t>22 гвоздя на одну доску</t>
  </si>
  <si>
    <t>Фасон</t>
  </si>
  <si>
    <t>сверло по металлу  для отлива 4,2*60</t>
  </si>
  <si>
    <t>2 шт (всегда при отливе)</t>
  </si>
  <si>
    <t>Плёнки</t>
  </si>
  <si>
    <t>бутилкаучук</t>
  </si>
  <si>
    <t xml:space="preserve">цокольный отлив </t>
  </si>
  <si>
    <t>4 штуки на пластину</t>
  </si>
  <si>
    <t>Саморез ПШ 16 мм оцинкованный</t>
  </si>
  <si>
    <t xml:space="preserve">для цокольного отлива </t>
  </si>
  <si>
    <t>Ме.мелкояч. сетка полоса 200 мм (803)</t>
  </si>
  <si>
    <t>Антимышинная сетка под фасад</t>
  </si>
  <si>
    <t>Периметр панелей поверх бруска</t>
  </si>
  <si>
    <t>углы и стыки (при фасадной отделке)</t>
  </si>
  <si>
    <t>Доска 20*140*6000 сорт А-В (541) (цвет)</t>
  </si>
  <si>
    <t>углы фасада</t>
  </si>
  <si>
    <r>
      <t xml:space="preserve">Доска 20*140*6000 сорт А-В (541) </t>
    </r>
    <r>
      <rPr>
        <sz val="11"/>
        <color indexed="2"/>
        <rFont val="Calibri"/>
        <family val="2"/>
        <charset val="204"/>
      </rPr>
      <t>(цвет)</t>
    </r>
  </si>
  <si>
    <r>
      <t xml:space="preserve">Доска 20*90*6000 сорт А-В </t>
    </r>
    <r>
      <rPr>
        <sz val="11"/>
        <color indexed="2"/>
        <rFont val="Calibri"/>
        <family val="2"/>
        <charset val="204"/>
      </rPr>
      <t>(цвет)</t>
    </r>
  </si>
  <si>
    <t>стыки фасада</t>
  </si>
  <si>
    <r>
      <t xml:space="preserve">Доска 20*40*3000 сорт А-В </t>
    </r>
    <r>
      <rPr>
        <sz val="11"/>
        <color indexed="2"/>
        <rFont val="Calibri"/>
        <family val="2"/>
        <charset val="204"/>
      </rPr>
      <t>(цвет)</t>
    </r>
  </si>
  <si>
    <t>Доска 20*60*6000 сорт А-В</t>
  </si>
  <si>
    <t>при панелях</t>
  </si>
  <si>
    <t>Нащельники 4*30-40 сорт А-В</t>
  </si>
  <si>
    <t>считается индивидуально с каждого стыка</t>
  </si>
  <si>
    <t>на стыки фасада панелей и фасада на стройке</t>
  </si>
  <si>
    <t>для монтажа нащельников фасада</t>
  </si>
  <si>
    <t>Для крепления фасадных углов и стыков</t>
  </si>
  <si>
    <t xml:space="preserve">гвоздь 2*50 или штифт 18 калибра </t>
  </si>
  <si>
    <t>имитация бруса</t>
  </si>
  <si>
    <t>Имитация бруса 21*135*6000 сорт А-В</t>
  </si>
  <si>
    <t>22 на доску имитации</t>
  </si>
  <si>
    <t>Имитация бруса 21*185*6000 сорт А-В (545)</t>
  </si>
  <si>
    <t>брусок 30*40</t>
  </si>
  <si>
    <t>подсистема для фасадной доски</t>
  </si>
  <si>
    <t>Для монтажа бруска подсистемы фасада</t>
  </si>
  <si>
    <t>без изоплата</t>
  </si>
  <si>
    <t xml:space="preserve">если есть изплат </t>
  </si>
  <si>
    <t>вентзазор</t>
  </si>
  <si>
    <t>подсистема для фасада</t>
  </si>
  <si>
    <t>монтировать между фермами для монтажа МДВП</t>
  </si>
  <si>
    <t>подсистема для фасада крыльца</t>
  </si>
  <si>
    <t>брусок 50*50*6000</t>
  </si>
  <si>
    <t xml:space="preserve">Саморезы кр шаг желтый цинк 4,8*100 </t>
  </si>
  <si>
    <t>для крепления бруска 45х55 подсистемы фасада</t>
  </si>
  <si>
    <t>для крепления подсистемы фасада крыльца</t>
  </si>
  <si>
    <t>Доска 20х90х6000</t>
  </si>
  <si>
    <t>подсистема под вертикальную наружную отделку фасадной доской</t>
  </si>
  <si>
    <t>Для крепления подсистемы фасадной доски (20*90)</t>
  </si>
  <si>
    <t>изоплат</t>
  </si>
  <si>
    <t>Изоплат 12*1200*2700 (528)</t>
  </si>
  <si>
    <t>на фронтонах и цоколе</t>
  </si>
  <si>
    <t>Для проклейки горизонтальных стыков МДВП</t>
  </si>
  <si>
    <t>для крепления изоплата</t>
  </si>
  <si>
    <t>Изоплат 25*1200*2700  (527)</t>
  </si>
  <si>
    <t>гипрок</t>
  </si>
  <si>
    <t>Гипрок 9*1200*2700 (522)</t>
  </si>
  <si>
    <t>на фронтонах</t>
  </si>
  <si>
    <t xml:space="preserve">Саморез 3,5*35 кр шаг цинк </t>
  </si>
  <si>
    <t>2 шт</t>
  </si>
  <si>
    <t>белтермо</t>
  </si>
  <si>
    <t>Плита Белтермо 25*1200*2700</t>
  </si>
  <si>
    <t>МДВП плита на наружные стены</t>
  </si>
  <si>
    <t>Гвоздь 70 с шир шляпкой</t>
  </si>
  <si>
    <t>Крепление МДВП плит</t>
  </si>
  <si>
    <t>на шов (не мажем)</t>
  </si>
  <si>
    <t xml:space="preserve">осп плита </t>
  </si>
  <si>
    <t>Плита OSB-3 2500*1250*9мм (521)</t>
  </si>
  <si>
    <t>для усиление стен (см. проект)</t>
  </si>
  <si>
    <t>Плита OSB-3 2500*1250*12 мм</t>
  </si>
  <si>
    <t>66 шт на лист</t>
  </si>
  <si>
    <t>фанера</t>
  </si>
  <si>
    <t>Фанера ФСФ 12*2440*1220 мм сорт 4/4</t>
  </si>
  <si>
    <t>на наружные стены изнутри (см. чертеж)</t>
  </si>
  <si>
    <t>Фанера ФСФ 9*1220*2440 мм сорт 4/4 (105)</t>
  </si>
  <si>
    <t>Фанера ФСФ 8*1220*2440 мм сорт 4/4 (106)</t>
  </si>
  <si>
    <t>Гвозди 50 ершеные цинк (305)</t>
  </si>
  <si>
    <t>крепление фанеры по стенам</t>
  </si>
  <si>
    <t>ВВЗ</t>
  </si>
  <si>
    <t>ВВЗ по наружным стенам</t>
  </si>
  <si>
    <t>Для крепления ВВЗ по наружным стенам</t>
  </si>
  <si>
    <t xml:space="preserve">скотч delta multi band </t>
  </si>
  <si>
    <t>Для проклейки ВВЗ по наружным стенам</t>
  </si>
  <si>
    <t>для подкраски</t>
  </si>
  <si>
    <t>Кисть плоская 100мм (013)</t>
  </si>
  <si>
    <t xml:space="preserve">губка для томпонирования гвоздей </t>
  </si>
  <si>
    <t>подшив</t>
  </si>
  <si>
    <t>доска 20*90</t>
  </si>
  <si>
    <t>Доска 20*90*6000 сорт А-В (цвет)</t>
  </si>
  <si>
    <t>Доска 20х90х6000 сорт А-В</t>
  </si>
  <si>
    <t>Конструкционный саморез 3,5х50 мм цинк</t>
  </si>
  <si>
    <t>Временное крепление подшива</t>
  </si>
  <si>
    <t>Для крепления подшива</t>
  </si>
  <si>
    <t>доп. материалы</t>
  </si>
  <si>
    <t>для крепления подшива</t>
  </si>
  <si>
    <t>Саморезы по дереву 3,5*55 мм</t>
  </si>
  <si>
    <t>Доска 45*140*6000 (цвет)</t>
  </si>
  <si>
    <t xml:space="preserve">Саморезы кр шаг желтый цинк 4,2*90 </t>
  </si>
  <si>
    <t>для крепления доп. доски подсистемы подшива</t>
  </si>
  <si>
    <t>Софиты</t>
  </si>
  <si>
    <t>для подшива софитами</t>
  </si>
  <si>
    <t>GrandLine</t>
  </si>
  <si>
    <t>Лобовая доска</t>
  </si>
  <si>
    <t>лобовая доска</t>
  </si>
  <si>
    <t>Доска 20*140*6000 сорт А-В (цвет)</t>
  </si>
  <si>
    <t>Доска 20*106*6000 сорт А-В (цвет)</t>
  </si>
  <si>
    <t>лобовая доска (Углы)</t>
  </si>
  <si>
    <t>Доска 20*190*6000 сорт А-В (цвет)</t>
  </si>
  <si>
    <t>Доска 20х140х6000 сорт А-В</t>
  </si>
  <si>
    <t xml:space="preserve">Доска 20х190х6000 сорт А-В </t>
  </si>
  <si>
    <t>Для крепления лобовой доски</t>
  </si>
  <si>
    <t>москитная сетка</t>
  </si>
  <si>
    <t>Антимоскитная сетка 1,6*30м (702)</t>
  </si>
  <si>
    <t>под подшив</t>
  </si>
  <si>
    <t xml:space="preserve">кровля,крыша ,террраса </t>
  </si>
  <si>
    <t>Для крепления антимоскитной сетки</t>
  </si>
  <si>
    <r>
      <rPr>
        <sz val="11"/>
        <color theme="1"/>
        <rFont val="Calibri"/>
        <family val="2"/>
        <charset val="204"/>
      </rPr>
      <t xml:space="preserve">краска для низа стропил </t>
    </r>
    <r>
      <rPr>
        <sz val="11"/>
        <color indexed="2"/>
        <rFont val="Calibri"/>
        <family val="2"/>
        <charset val="204"/>
      </rPr>
      <t>RAL 7016</t>
    </r>
  </si>
  <si>
    <t>терраса</t>
  </si>
  <si>
    <t>террасная доска</t>
  </si>
  <si>
    <t>Доска 35х140х6000 (не моканная, высший сорт)</t>
  </si>
  <si>
    <t>настил террасы</t>
  </si>
  <si>
    <t>крыльцо</t>
  </si>
  <si>
    <r>
      <t xml:space="preserve">Доска 35*140*6000 (не моканная, высший сорт) </t>
    </r>
    <r>
      <rPr>
        <sz val="11"/>
        <color rgb="FFFF0000"/>
        <rFont val="Calibri"/>
        <family val="2"/>
        <charset val="204"/>
      </rPr>
      <t>(цвет)</t>
    </r>
  </si>
  <si>
    <t>Терраса и крыльцо</t>
  </si>
  <si>
    <t xml:space="preserve">для настила террассы </t>
  </si>
  <si>
    <t>счет в ручную</t>
  </si>
  <si>
    <t>террасная доска лиственница 28*140*4000</t>
  </si>
  <si>
    <t>Конструкционный саморез 5*70 потай</t>
  </si>
  <si>
    <t>для пола террассы (счет в ручную)</t>
  </si>
  <si>
    <t>Террасная доска из ДПК Deckson Universal 32*165*4000</t>
  </si>
  <si>
    <t>Лага из ДПК 4м</t>
  </si>
  <si>
    <t>Для крепления на бетон</t>
  </si>
  <si>
    <t>Уголок из ДПК 4м</t>
  </si>
  <si>
    <t>На торцы настила из ДПК</t>
  </si>
  <si>
    <t>Кляймеры стартовые</t>
  </si>
  <si>
    <t>Кляймеры промежуточные</t>
  </si>
  <si>
    <t>Для крепления кляймеров</t>
  </si>
  <si>
    <t>Гидроизоляция балкона и крыльца</t>
  </si>
  <si>
    <t>Подсистема фасада террасы и крыльца</t>
  </si>
  <si>
    <t>гидроизоляционный материал</t>
  </si>
  <si>
    <t>Антисептирование балок</t>
  </si>
  <si>
    <t>Neomid 440 eco (концетрат)</t>
  </si>
  <si>
    <t xml:space="preserve">Литров </t>
  </si>
  <si>
    <t>Обработка балок перекрытия террасы и крыльца в 2 слоя</t>
  </si>
  <si>
    <t>расход концетрата 350/9 м2</t>
  </si>
  <si>
    <r>
      <rPr>
        <sz val="11"/>
        <color theme="1"/>
        <rFont val="Calibri"/>
        <family val="2"/>
        <charset val="204"/>
      </rPr>
      <t>краска</t>
    </r>
    <r>
      <rPr>
        <sz val="11"/>
        <color indexed="2"/>
        <rFont val="Calibri"/>
        <family val="2"/>
        <charset val="204"/>
      </rPr>
      <t xml:space="preserve"> RAL 7016</t>
    </r>
  </si>
  <si>
    <t>Для покраски Колон и прогонов</t>
  </si>
  <si>
    <t>Масло/Воск для террасной и палубной доски</t>
  </si>
  <si>
    <t>Столбы и прогоны</t>
  </si>
  <si>
    <t>Доска 45*190*6000 (цвет)</t>
  </si>
  <si>
    <t>Прогоны</t>
  </si>
  <si>
    <t>Смотри ТЗ</t>
  </si>
  <si>
    <t>Столбы</t>
  </si>
  <si>
    <t>Доска 45*90*6000 (цвет)</t>
  </si>
  <si>
    <t>ограждения</t>
  </si>
  <si>
    <t>Доска 45*140*6000 сорт А-В (цвет)</t>
  </si>
  <si>
    <t>Доска 45*45*6000 (цвет)</t>
  </si>
  <si>
    <t>для сборки ограждения</t>
  </si>
  <si>
    <t>Саморезы кр шаг желтый цинк 4,2*90</t>
  </si>
  <si>
    <t>Лестница</t>
  </si>
  <si>
    <t>Для сборки лестницы террасы</t>
  </si>
  <si>
    <t>Саморезы кр шаг желтый цинк 4,2*90 (348)</t>
  </si>
  <si>
    <t>для сборки лестницы</t>
  </si>
  <si>
    <t>считать так же как на каркас *7</t>
  </si>
  <si>
    <t>Доска 20*90*6000 сорт А-В (543) (цвет)</t>
  </si>
  <si>
    <t>зашивка террасы с боков</t>
  </si>
  <si>
    <t>Бита Torx 15</t>
  </si>
  <si>
    <t>для саморезов фасада террасы с боков</t>
  </si>
  <si>
    <t>Если есть саморез 50х3,4мм Wkret-met</t>
  </si>
  <si>
    <t>на перекрытие террасы</t>
  </si>
  <si>
    <t>подсистема</t>
  </si>
  <si>
    <t>для крепления бруска террасы с боков</t>
  </si>
  <si>
    <t>Брусок 20х40х2000</t>
  </si>
  <si>
    <t>для крепления бруска подсистемы фасада террасы и крыльца</t>
  </si>
  <si>
    <t>подсистема вертикальной отделки террасы (Фасад террасы)</t>
  </si>
  <si>
    <t>для крепления подсистемы вертикальной отделки террасы (фасад террасы)</t>
  </si>
  <si>
    <t>монтаж проёмов</t>
  </si>
  <si>
    <t>окна и двери</t>
  </si>
  <si>
    <t>наличники. отделка проемов</t>
  </si>
  <si>
    <t>откосы. отделка проемов</t>
  </si>
  <si>
    <t>для установки дверей и окон</t>
  </si>
  <si>
    <t>Полная формула в F</t>
  </si>
  <si>
    <t>Промывка для пены (108)</t>
  </si>
  <si>
    <t>Металлич порог на дверь</t>
  </si>
  <si>
    <t>На проемы снаружи (защита шва)</t>
  </si>
  <si>
    <t>Если нет теплых откосов</t>
  </si>
  <si>
    <t>На проемы внутри (защита шва)</t>
  </si>
  <si>
    <t>сверло по металлу 5*80</t>
  </si>
  <si>
    <t xml:space="preserve">3 шт для крепления окон </t>
  </si>
  <si>
    <t xml:space="preserve">для крепления наличников и откосов </t>
  </si>
  <si>
    <t>для крепления отлива по окнам</t>
  </si>
  <si>
    <t>для монтажа окна</t>
  </si>
  <si>
    <t>10 шт на окно</t>
  </si>
  <si>
    <t>для монтажа двери</t>
  </si>
  <si>
    <t>10 шт на дверь</t>
  </si>
  <si>
    <t>пластиковая отделка</t>
  </si>
  <si>
    <t>деревянные подоконники</t>
  </si>
  <si>
    <t>ключ для настройки окон</t>
  </si>
  <si>
    <t xml:space="preserve">подоконники пластиковые </t>
  </si>
  <si>
    <t>цокольное перекрытие</t>
  </si>
  <si>
    <t>доска 25*100</t>
  </si>
  <si>
    <t>Дюймовка 25х100х6000 1-2 сорт (антисептированная)</t>
  </si>
  <si>
    <t>обрешетка цокольного перекрытия</t>
  </si>
  <si>
    <t>для крепления обрешетки по низу цокольного перекрытия</t>
  </si>
  <si>
    <t>без базальта</t>
  </si>
  <si>
    <t>с базальтом</t>
  </si>
  <si>
    <t xml:space="preserve">доска 25*150  временная </t>
  </si>
  <si>
    <t xml:space="preserve">временная обрешетка </t>
  </si>
  <si>
    <t>шаг 2м</t>
  </si>
  <si>
    <t>на каждый отрезок доски по 4 самореза</t>
  </si>
  <si>
    <t>антимышиная сетка</t>
  </si>
  <si>
    <t>Ме.мелкояч. сетка ковром по цоколю от мышей 1м*15м</t>
  </si>
  <si>
    <t>Антимышинная сетка под цокольное перекрытие</t>
  </si>
  <si>
    <t>в нахлест 100 мм с каждой стороны</t>
  </si>
  <si>
    <t>для крепления антимышинной сетки</t>
  </si>
  <si>
    <t xml:space="preserve">ВВЗ(дешевая комплектация) </t>
  </si>
  <si>
    <t>ВВЗ по цокольному перекрытию</t>
  </si>
  <si>
    <t>для ВВЗ по цокольному перекытию</t>
  </si>
  <si>
    <t>утеплитель высокой плотности</t>
  </si>
  <si>
    <t>Утеплитель базальтовый 50*600*1200 (605) плотность от 90до110кг/м3</t>
  </si>
  <si>
    <t xml:space="preserve">в цокольном перекрытии </t>
  </si>
  <si>
    <t>Плёнка п/эт 1500*150 рукав А</t>
  </si>
  <si>
    <t xml:space="preserve">м2 </t>
  </si>
  <si>
    <t>для временного укрытия утеплителя</t>
  </si>
  <si>
    <t>Саксэс</t>
  </si>
  <si>
    <t>Скотч серый армированный 50м</t>
  </si>
  <si>
    <t>Для проклейки временного укрытия утеплителя</t>
  </si>
  <si>
    <t>Считать в летнее время и межсезон</t>
  </si>
  <si>
    <t>клей пена Технониколь 500 (1000 мл)</t>
  </si>
  <si>
    <t>для склеивания стыков базальтового утеплителя</t>
  </si>
  <si>
    <t>1 Баллон на 50м2</t>
  </si>
  <si>
    <t>Монтаж панелей</t>
  </si>
  <si>
    <t>монтаж Цокольных панелей</t>
  </si>
  <si>
    <t>Конструкционный саморез 5*120 цинк</t>
  </si>
  <si>
    <t>клей пена Технониколь 508 (1000 мл)</t>
  </si>
  <si>
    <t>На стык цокольных панелей</t>
  </si>
  <si>
    <t>1 Баллон на 20 м.пог.</t>
  </si>
  <si>
    <t>утеплитель</t>
  </si>
  <si>
    <t>в цокольное перекрытие</t>
  </si>
  <si>
    <t>16 шт в пачке</t>
  </si>
  <si>
    <t>доска для распорок</t>
  </si>
  <si>
    <t>для распорок в цокольном перекрытии, террасе и крыльца</t>
  </si>
  <si>
    <t>Фанера ФСФ 21*1220*2440 мм сорт 4/4 (102)</t>
  </si>
  <si>
    <t>черновой пол цокольного этажа</t>
  </si>
  <si>
    <t>Фанера ФСФ 18*1220*2440 мм сорт 4/4 (546)</t>
  </si>
  <si>
    <t>Клей Titebond heavy duty 296 мл /Технониколь 508</t>
  </si>
  <si>
    <t xml:space="preserve">проклеивание чернового пола </t>
  </si>
  <si>
    <t>для крепления Фанеры по черновому полу цокольного этажа</t>
  </si>
  <si>
    <t>для прокручивания Фанеры по черновому полу цокольного этажа</t>
  </si>
  <si>
    <t>OSB-3</t>
  </si>
  <si>
    <t>Плита OSB-3 2500*1250*18мм (170)</t>
  </si>
  <si>
    <t>Плита OSB-3 2500*1250*22мм (520)</t>
  </si>
  <si>
    <t>для проклеивания чернового пола цокольного этажа</t>
  </si>
  <si>
    <t>для крепления ОСБ по черновому полу цокольного этажа</t>
  </si>
  <si>
    <t>для прокручивания ОСБ по черновому полу цокольного этажа</t>
  </si>
  <si>
    <t>межэтажное перекрытие</t>
  </si>
  <si>
    <t>на межэтажное перекрытие</t>
  </si>
  <si>
    <t>на межэтажное перекрытие (подсистема ГКЛ межэтажки)</t>
  </si>
  <si>
    <t>на межэтажное перекрытие ( для крепления подсистемы ГКЛ межэтажки)</t>
  </si>
  <si>
    <t>брусок 45*45</t>
  </si>
  <si>
    <t>на межэтажное перекрытие (для крепления подсистемы межэтажки)</t>
  </si>
  <si>
    <t>для крепления доски и бруска в межэтажном перекрыти</t>
  </si>
  <si>
    <t>Доска 45*145</t>
  </si>
  <si>
    <t>Доска 45*95</t>
  </si>
  <si>
    <t>на межэтажное перекрытие  (для крепления подсистемы межэтажки)</t>
  </si>
  <si>
    <t>крафт-бумага</t>
  </si>
  <si>
    <t>Бумага Крафт пл. 115 г/м2, ф. 1050мм (810)</t>
  </si>
  <si>
    <t>Всегда</t>
  </si>
  <si>
    <t>конструкционный саморез 6*120 цинк</t>
  </si>
  <si>
    <t>Монтаж Межэтажных панелей К клееной конструкции</t>
  </si>
  <si>
    <t>Монтаж Межэтажных панелей</t>
  </si>
  <si>
    <t>На стык Межэтажных панелей</t>
  </si>
  <si>
    <t>утеплитель по контуру</t>
  </si>
  <si>
    <t>Утеплитель Пеноплэкс 585*1185*50мм</t>
  </si>
  <si>
    <t>Проклеивание пеноплекса в межэтажном перекрытии</t>
  </si>
  <si>
    <t>Утеплитель Пеноплэкс 585*1185*100 мм</t>
  </si>
  <si>
    <t xml:space="preserve">на межэтажное прекрытие </t>
  </si>
  <si>
    <t>Роквул 800х600х50</t>
  </si>
  <si>
    <t>на чердачное перекрытие</t>
  </si>
  <si>
    <t>Роквул 800х600х100</t>
  </si>
  <si>
    <t>Плита OSB-3 2500*1250*18 (170)</t>
  </si>
  <si>
    <t>черный пол</t>
  </si>
  <si>
    <t>Клей Titebond heavy duty 296 мл (800)</t>
  </si>
  <si>
    <t>для крепления ОСБ по черновому полу межэтажного перекрытия</t>
  </si>
  <si>
    <t>для прокручивания ОСБ по черновому полу межэтажного перекрытия</t>
  </si>
  <si>
    <t>для крепления Фанеры по черновому полу межэтажного перекрытия</t>
  </si>
  <si>
    <t>для прокручивания Фанеры по черновому полу межэтажного перекрытия</t>
  </si>
  <si>
    <t>Саморез 70 мм цинк (306)</t>
  </si>
  <si>
    <t xml:space="preserve">по 2 самореза в пересечение </t>
  </si>
  <si>
    <t>Для монтажа бруска и доски на чердачное перекрытие</t>
  </si>
  <si>
    <t>пароизоляция</t>
  </si>
  <si>
    <t>для проклеивание пароизоляции на чердачном перекрытии</t>
  </si>
  <si>
    <t>для крепления пароизоляции теплой кровли и межэтажного перекрытия</t>
  </si>
  <si>
    <t xml:space="preserve">м.пог </t>
  </si>
  <si>
    <t>при дешевой компл дома (ОСП, фанера)</t>
  </si>
  <si>
    <t>Сборка кровельных панелей</t>
  </si>
  <si>
    <t>на теплую кровлю</t>
  </si>
  <si>
    <t>для крепления бруска по теплой кровли</t>
  </si>
  <si>
    <t>на теплую кровлю и чердачное перекрытие</t>
  </si>
  <si>
    <t>брусок теплой кровли</t>
  </si>
  <si>
    <t xml:space="preserve">второй прекрест </t>
  </si>
  <si>
    <t xml:space="preserve">пиломатериал </t>
  </si>
  <si>
    <t>для проклеивание пароизоляции теплой кровли</t>
  </si>
  <si>
    <t>для крепления пароизоляции теплой кровли</t>
  </si>
  <si>
    <t xml:space="preserve">на скаты теплой кровли </t>
  </si>
  <si>
    <t>на скаты теплой кровли</t>
  </si>
  <si>
    <t>наружные стены изнутри</t>
  </si>
  <si>
    <t>на наружные стены изнутри для внутренней отделки</t>
  </si>
  <si>
    <t>наружные стены</t>
  </si>
  <si>
    <t>для крепления бруска контрутепления по наружным стенам</t>
  </si>
  <si>
    <t>правило 3 м</t>
  </si>
  <si>
    <t xml:space="preserve">шт всегда </t>
  </si>
  <si>
    <t>Доп. материалы</t>
  </si>
  <si>
    <t>каркас для утепления стены</t>
  </si>
  <si>
    <t>на наружные стены изнутри</t>
  </si>
  <si>
    <t>когда есть контр-утепление</t>
  </si>
  <si>
    <t>для крепления крафт-бумаги</t>
  </si>
  <si>
    <t>на наружные стены</t>
  </si>
  <si>
    <t>для проклейки пароизоляции наружных стен</t>
  </si>
  <si>
    <t>Скобы для степлера на 10 Тип 140</t>
  </si>
  <si>
    <t>для проклейки пароизоляции</t>
  </si>
  <si>
    <t>в наружных стенах и контрутепление</t>
  </si>
  <si>
    <t>доска</t>
  </si>
  <si>
    <t xml:space="preserve">на перегородки </t>
  </si>
  <si>
    <t>внутренние стены и перегородки</t>
  </si>
  <si>
    <t>на перегородки</t>
  </si>
  <si>
    <t>Для сборки перегородок</t>
  </si>
  <si>
    <t>Применяется при УШП для проклеивания нижней обвязки перегородок</t>
  </si>
  <si>
    <t>во внутренние стены и перегородки</t>
  </si>
  <si>
    <t xml:space="preserve"> Всегда считаем кроме ГКЛ</t>
  </si>
  <si>
    <t>фольга 50мкр 10м2</t>
  </si>
  <si>
    <t>на перегородках под внутр. отделку</t>
  </si>
  <si>
    <t>Вставка в несущую стену</t>
  </si>
  <si>
    <t>На наружные стены</t>
  </si>
  <si>
    <t xml:space="preserve">сверло по металлу на 9 </t>
  </si>
  <si>
    <t>1 сверло для металлочерепицы (всегда)</t>
  </si>
  <si>
    <t>Биты магнитые для саморезов 2 PH-50 mm</t>
  </si>
  <si>
    <t>всегда отправляются на стройку</t>
  </si>
  <si>
    <t>Биты магнитые для саморезов PZ3-50 mm</t>
  </si>
  <si>
    <t>Бита для кровельных саморезов 8 мм</t>
  </si>
  <si>
    <t>Карандаш строительный</t>
  </si>
  <si>
    <t>Перчатки рабочие (315)</t>
  </si>
  <si>
    <t>пары</t>
  </si>
  <si>
    <t>Лезвия для ножа 25 мм/10 шт (351)</t>
  </si>
  <si>
    <t>пачки</t>
  </si>
  <si>
    <t>Плёнка п/эт 1500*160 (вторичка)</t>
  </si>
  <si>
    <t>всегда отправляются на стройку (для укрытия материалов)</t>
  </si>
  <si>
    <t xml:space="preserve">литр </t>
  </si>
  <si>
    <t>кисть макловица</t>
  </si>
  <si>
    <t>Скотч армированный М60 (50 метров)</t>
  </si>
  <si>
    <t>если есть пленка Пэрул. 1.5 метра, 150мкр-для укрытия перекрытия по платформе</t>
  </si>
  <si>
    <t>Гвозди 3,5*120мм строительные (355)</t>
  </si>
  <si>
    <t>кг</t>
  </si>
  <si>
    <t>Доска на леса 50х100х6000 3 сорт ЕВ  (524)</t>
  </si>
  <si>
    <t>Доска на леса 25х100х6000 3 сорт ЕВ (523)</t>
  </si>
  <si>
    <t>Кисть для подкраски на объекте 100 мм (013)</t>
  </si>
  <si>
    <t>Кисть для подкраски на объекте 30 мм</t>
  </si>
  <si>
    <t>р.к. нижний брусок</t>
  </si>
  <si>
    <t>на 8 панелей 1 шт</t>
  </si>
  <si>
    <t>ремонтные комплекты</t>
  </si>
  <si>
    <t>р.к. брусок 30*40</t>
  </si>
  <si>
    <t>3 шт на 8 панелей</t>
  </si>
  <si>
    <t>р.к. доска 20*90</t>
  </si>
  <si>
    <t>р.к. МДВП</t>
  </si>
  <si>
    <t>на 8 панелей 1 лист (Макси)</t>
  </si>
  <si>
    <t>склеивание мембраны по цоколю</t>
  </si>
  <si>
    <t>для швов изоплата</t>
  </si>
  <si>
    <t>р.к. для нижнего бруска панелей МАКСИ</t>
  </si>
  <si>
    <t>р.к. для бруска 30*40 на панелях</t>
  </si>
  <si>
    <t>для рем комплекта</t>
  </si>
  <si>
    <t>на три панели 2,7 метра</t>
  </si>
  <si>
    <t>Дюймовка 25х100х6000 1-2 сорт ЕВ (561)</t>
  </si>
  <si>
    <t>временные упоры панелей для МАКСИ</t>
  </si>
  <si>
    <t>2 шт на одну панель</t>
  </si>
  <si>
    <t>для временных упоров панелей</t>
  </si>
  <si>
    <t>дюбель гвоздь по бетону 6*40мм</t>
  </si>
  <si>
    <t>при ж/б плите</t>
  </si>
  <si>
    <t>3 шт на одну панель</t>
  </si>
  <si>
    <t>при нестыковке длины стен. высотой с панель и шириной с толщину стены. Кол-во полос по надобности</t>
  </si>
  <si>
    <t>1 лист</t>
  </si>
  <si>
    <t>рем. Комплект на изоплат</t>
  </si>
  <si>
    <t>санузел</t>
  </si>
  <si>
    <t>аквапанель 12,5*900*1200</t>
  </si>
  <si>
    <t>с/у внутренняя отделка</t>
  </si>
  <si>
    <t>гкл</t>
  </si>
  <si>
    <t xml:space="preserve">Саморез 3,5*35 кр шаг оксидир </t>
  </si>
  <si>
    <t>Плиты ГКЛВ 12 мм., м2 и шт. 1200*2500</t>
  </si>
  <si>
    <t>внутренняя отделка</t>
  </si>
  <si>
    <t>Плиты ГКЛВ 9 мм., м2 и шт.1200*2500</t>
  </si>
  <si>
    <t>если нет вентеляции то считается по всем стенам</t>
  </si>
  <si>
    <t>Плиты ГКЛ 12 мм., м2 и шт. 1200*2500</t>
  </si>
  <si>
    <t>Плиты ГКЛ 9 мм., м2 и шт. 1200*2500</t>
  </si>
  <si>
    <t>Плиты ГВЛ 12 мм., м2 и шт. 1200*2500</t>
  </si>
  <si>
    <t>Листов</t>
  </si>
  <si>
    <t>Плиты ГВЛВ 12 мм., м2 и шт.1200*2500</t>
  </si>
  <si>
    <t xml:space="preserve">в санузлах ,постирочной ,котельной ,кухня -только гклв </t>
  </si>
  <si>
    <t>ГКЛ стронг</t>
  </si>
  <si>
    <t>Имитация бруса 16*135*6000 сорт А-В (544)</t>
  </si>
  <si>
    <t>Гвозди финишные 1,8*50 цинк (366)</t>
  </si>
  <si>
    <t>Доска UYV 21х145х6000</t>
  </si>
  <si>
    <t>Гвозди финишные 1,8*50 цинк</t>
  </si>
  <si>
    <t>для крепления внутренней отделки</t>
  </si>
  <si>
    <t>Плинтус 2,2 м</t>
  </si>
  <si>
    <t>Наружный уголок для внутр. отделки 2,2м</t>
  </si>
  <si>
    <t>Внутренний уголок для внутренней отделки 2,2м</t>
  </si>
  <si>
    <t>сауна</t>
  </si>
  <si>
    <t>вагонка липа 2,6м</t>
  </si>
  <si>
    <t xml:space="preserve">Финишные штифты </t>
  </si>
  <si>
    <t xml:space="preserve">уголки внутрение </t>
  </si>
  <si>
    <t>посчитать по углам</t>
  </si>
  <si>
    <t>пароизоляция в сауну</t>
  </si>
  <si>
    <t xml:space="preserve">скотч стальной или алюминивый </t>
  </si>
  <si>
    <t>для проклейки фольги</t>
  </si>
  <si>
    <t>длина 25м</t>
  </si>
  <si>
    <t>вагонка</t>
  </si>
  <si>
    <t>Вагонка 13*90*6000 мм., м2 и шт.</t>
  </si>
  <si>
    <t xml:space="preserve">краска в болончиках </t>
  </si>
  <si>
    <t>под внутреннюю отделку</t>
  </si>
  <si>
    <t>Итог</t>
  </si>
  <si>
    <t>Итого</t>
  </si>
  <si>
    <t>Контрольная карта для сборки больших панелей</t>
  </si>
  <si>
    <t>раздел</t>
  </si>
  <si>
    <t>Вес(кг)</t>
  </si>
  <si>
    <t>масса(кг)</t>
  </si>
  <si>
    <t>каркас 
(все панели)</t>
  </si>
  <si>
    <t>закладная ВВЗ</t>
  </si>
  <si>
    <t>Скобы для степлера (324)</t>
  </si>
  <si>
    <t>метизы</t>
  </si>
  <si>
    <t>Гвозди 3,4*90 мм ерш. цинк барабанные</t>
  </si>
  <si>
    <t>только на сборку панелей</t>
  </si>
  <si>
    <t>считать как на каркас</t>
  </si>
  <si>
    <t>Шелтер 150 мм</t>
  </si>
  <si>
    <t>на парные стойки, балки и стыки панелей</t>
  </si>
  <si>
    <t>на парные стойки цоколя</t>
  </si>
  <si>
    <t>для шелтера</t>
  </si>
  <si>
    <t>трос 12 мм</t>
  </si>
  <si>
    <t>2 м на одну панель</t>
  </si>
  <si>
    <t>Брусок 45*45*6000 (505)</t>
  </si>
  <si>
    <t>внизу панели</t>
  </si>
  <si>
    <t>саморез конструкционный 90 мм</t>
  </si>
  <si>
    <t>для крепления опорного бруска на панелях</t>
  </si>
  <si>
    <t>Доска 20*90*6000 для укосин (582)</t>
  </si>
  <si>
    <t>Доска на панели</t>
  </si>
  <si>
    <t>Доска 45*90*6000 (Антисептированная)</t>
  </si>
  <si>
    <t>на сборку панелей</t>
  </si>
  <si>
    <t>Доска 45*140*6000 (Антисептированная)</t>
  </si>
  <si>
    <t>Доска 45*190*6000 (Антисептированная)</t>
  </si>
  <si>
    <t>Доска 20х190х6000</t>
  </si>
  <si>
    <t>подсистема потолка</t>
  </si>
  <si>
    <t>Гвозди 70 ершенные цинк (306)</t>
  </si>
  <si>
    <t>Обрешетка 
кровли</t>
  </si>
  <si>
    <t>Дюймовка 25*100*6000 1-2 сорт (сухая)</t>
  </si>
  <si>
    <t>подсистема 
потолка</t>
  </si>
  <si>
    <t>Для крепления подсистемы</t>
  </si>
  <si>
    <t>Плёнка п/эт 1500*200 рукав А (607)</t>
  </si>
  <si>
    <t>Скобы для степлера на 10 Тип 140 (324)</t>
  </si>
  <si>
    <t>Фронтонные фермы и лестницы</t>
  </si>
  <si>
    <t>Фасадная доска</t>
  </si>
  <si>
    <t>тонкопитенная поверхность 20*140</t>
  </si>
  <si>
    <t>тонкопитенная поверхность 20*90</t>
  </si>
  <si>
    <t>Гвоздь барабанный 2,5*60 горячей гальванизации ерш.</t>
  </si>
  <si>
    <t>для крепления фасадной доски</t>
  </si>
  <si>
    <t xml:space="preserve">Брусок 20*45*6000 </t>
  </si>
  <si>
    <t>подсистема фасадной доски</t>
  </si>
  <si>
    <t xml:space="preserve">Брусок 30*40*3000 </t>
  </si>
  <si>
    <t>для крепления подсистемы фасадной доски</t>
  </si>
  <si>
    <t xml:space="preserve">Доска 20*90*6000 сорт А-В </t>
  </si>
  <si>
    <t>подсистема под вертикальный фасад</t>
  </si>
  <si>
    <t>Гвоздь барабанный 2,5*60 ершеный цинк кольц .накат (341)</t>
  </si>
  <si>
    <t>крепление подсистемы под вертикальный фасад</t>
  </si>
  <si>
    <t>Гвоздь  70 с шир шляпкой</t>
  </si>
  <si>
    <t>крепление плит МДВП по Ферме</t>
  </si>
  <si>
    <t>плита МДВП на ферме</t>
  </si>
  <si>
    <t>Ветрозащита tyvek soft 1,5*50m</t>
  </si>
  <si>
    <t>ВВЗ по фронтонным фермам</t>
  </si>
  <si>
    <t>delta multi band</t>
  </si>
  <si>
    <t>Для ВВЗ по фронтонным фермам</t>
  </si>
  <si>
    <t>цокольные панели</t>
  </si>
  <si>
    <t>Плита OSB-3 2500*1250*18</t>
  </si>
  <si>
    <t>Плита OSB-3 2500*1250*22мм</t>
  </si>
  <si>
    <t xml:space="preserve">Гвоздь 2,8*60 ершеный цинк </t>
  </si>
  <si>
    <t>Фанера ФСФ 18*1250*2500 мм сорт 4/4 (546)</t>
  </si>
  <si>
    <t>Дюймовка 25*100*6000 1-2 сорт (антисептированная)</t>
  </si>
  <si>
    <t>Антимышинная сетка на цокольные панели</t>
  </si>
  <si>
    <t>Скобы для степлера на 10 Тип140 (324)</t>
  </si>
  <si>
    <t>Утепление цокольных панелей</t>
  </si>
  <si>
    <t>наружная отделка стен</t>
  </si>
  <si>
    <t xml:space="preserve">Ме.мелкояч. сетка полоса 200 мм </t>
  </si>
  <si>
    <t>сетка от грызунов под фасад</t>
  </si>
  <si>
    <t>крепление плит МДВП по стенам</t>
  </si>
  <si>
    <t>плита МДВП на стенах</t>
  </si>
  <si>
    <t>Плита OSB-3 2500*1250*9мм</t>
  </si>
  <si>
    <t>плита осп на стенах</t>
  </si>
  <si>
    <t>Плита OSB-3 2500*1250*12мм</t>
  </si>
  <si>
    <t>Гвоздь барабан 2,5*60 ершеный цинк с кольц накаткой</t>
  </si>
  <si>
    <t>крепление плит осп по стенам</t>
  </si>
  <si>
    <t>Фанера</t>
  </si>
  <si>
    <t>Фанера ФСФ 8*1250*2500 мм сорт 4/4</t>
  </si>
  <si>
    <t>Фанера на стенах</t>
  </si>
  <si>
    <t>Фанера ФСФ 12*1250*2500 мм сорт 4/4</t>
  </si>
  <si>
    <t>крепление фанерыпо стенам</t>
  </si>
  <si>
    <t>Для ВВЗ по наружным стенам</t>
  </si>
  <si>
    <t>проемы</t>
  </si>
  <si>
    <t>промывка для клей-пены</t>
  </si>
  <si>
    <t>Клей-пена туба 750мл</t>
  </si>
  <si>
    <t>Змейка по периметру проемов</t>
  </si>
  <si>
    <t>Ветрозащита tyvek soft 1,5*50m на проемы</t>
  </si>
  <si>
    <t>изоплат полоса 165мм</t>
  </si>
  <si>
    <t xml:space="preserve">Деревянный временный порог </t>
  </si>
  <si>
    <t>для закрытия ВВЗ в дверных проемах</t>
  </si>
  <si>
    <t>для крепления отделки проемов</t>
  </si>
  <si>
    <t>в зимнее время</t>
  </si>
  <si>
    <t>Доска 20*90*6000 сорт А-В (543)</t>
  </si>
  <si>
    <t>саморез 60</t>
  </si>
  <si>
    <t>крепление подсистемы внутренней отделки</t>
  </si>
  <si>
    <t>Брусок 30*45*3000/30*40*3000 (503)</t>
  </si>
  <si>
    <t>саморез 75</t>
  </si>
  <si>
    <t>Контр утепление</t>
  </si>
  <si>
    <t>опорный брус/брус внутреннего конрутепления</t>
  </si>
  <si>
    <t>Брусок 55*45*6000 (505)</t>
  </si>
  <si>
    <t>брус внутреннего конрутепления</t>
  </si>
  <si>
    <t>для крепления бруска конрутепления</t>
  </si>
  <si>
    <t>см. договор или ТЗ</t>
  </si>
  <si>
    <t>пароизоляция на панелях</t>
  </si>
  <si>
    <t>скотч  для пароизоляции</t>
  </si>
  <si>
    <t>для крепления пароизоляции</t>
  </si>
  <si>
    <t>Утепление стеновых панелей</t>
  </si>
  <si>
    <t>Крашенные элименты</t>
  </si>
  <si>
    <t>Столбы и ограждения</t>
  </si>
  <si>
    <t>Доска 45*140*6000</t>
  </si>
  <si>
    <t>Добор на фронтоны</t>
  </si>
  <si>
    <t>Ограждения</t>
  </si>
  <si>
    <r>
      <t xml:space="preserve">краска </t>
    </r>
    <r>
      <rPr>
        <sz val="11"/>
        <color indexed="2"/>
        <rFont val="Calibri"/>
        <family val="2"/>
        <charset val="204"/>
      </rPr>
      <t xml:space="preserve">Т </t>
    </r>
  </si>
  <si>
    <t xml:space="preserve">Стропильные ноги над подшивом </t>
  </si>
  <si>
    <t>Доска 45</t>
  </si>
  <si>
    <t>красится торец</t>
  </si>
  <si>
    <t>Спросить у проектировщака</t>
  </si>
  <si>
    <r>
      <t xml:space="preserve">краска </t>
    </r>
    <r>
      <rPr>
        <sz val="11"/>
        <color indexed="2"/>
        <rFont val="Calibri"/>
        <family val="2"/>
        <charset val="204"/>
      </rPr>
      <t>RAL 7024</t>
    </r>
  </si>
  <si>
    <t>Размер</t>
  </si>
  <si>
    <t>Доска</t>
  </si>
  <si>
    <t>Объем элемента</t>
  </si>
  <si>
    <t>Краска</t>
  </si>
  <si>
    <t>Покраска с 3-х сторон</t>
  </si>
  <si>
    <t>Покраска с 4-х сторон</t>
  </si>
  <si>
    <t>Кол-во доски, шт для покраски:</t>
  </si>
  <si>
    <t>Площадь покраски</t>
  </si>
  <si>
    <t>объем</t>
  </si>
  <si>
    <t>Шлифовка</t>
  </si>
  <si>
    <t>Упаковка</t>
  </si>
  <si>
    <t>Сортивка</t>
  </si>
  <si>
    <t>Расходы</t>
  </si>
  <si>
    <t>Цена за покраску</t>
  </si>
  <si>
    <t>Оттенок</t>
  </si>
  <si>
    <t>Слои</t>
  </si>
  <si>
    <t>Торца</t>
  </si>
  <si>
    <t>С 3-х сторон</t>
  </si>
  <si>
    <t>С 4-х сторон</t>
  </si>
  <si>
    <t>с 3-х сторон</t>
  </si>
  <si>
    <t>с 4-х сторон</t>
  </si>
  <si>
    <t>Торец</t>
  </si>
  <si>
    <t>На панели</t>
  </si>
  <si>
    <t>Раздел</t>
  </si>
  <si>
    <t>Место</t>
  </si>
  <si>
    <t>Все разделы</t>
  </si>
  <si>
    <t>Все места</t>
  </si>
  <si>
    <t>Наименование</t>
  </si>
  <si>
    <t>21x146</t>
  </si>
  <si>
    <t>21x147</t>
  </si>
  <si>
    <t>Панели стен</t>
  </si>
  <si>
    <t>Подшив свесов</t>
  </si>
  <si>
    <t>Фронтонные фермы</t>
  </si>
  <si>
    <t xml:space="preserve">Брусок 30*65*4000 </t>
  </si>
  <si>
    <t>МДВП</t>
  </si>
  <si>
    <t>Наличник/откос</t>
  </si>
  <si>
    <t>стены изнутри</t>
  </si>
  <si>
    <t xml:space="preserve"> для внутренней отделки</t>
  </si>
  <si>
    <t>Фундамент</t>
  </si>
  <si>
    <t xml:space="preserve">Доска 45х190х6000 </t>
  </si>
  <si>
    <t>Ветрозащита изоспан А Полоса ветрозащиты 450 мм</t>
  </si>
  <si>
    <t>Брусок 30х65х4000</t>
  </si>
  <si>
    <t>Доска 35х90х6000 1-2 сорт сухая калиброванная</t>
  </si>
  <si>
    <t>Если мягкая кровля</t>
  </si>
  <si>
    <t>отлив по цоколю 2м (цвет)</t>
  </si>
  <si>
    <t>заклепка 4*10 для отлива (цвет)</t>
  </si>
  <si>
    <t>Нащельник 20-35-20 2м (цвет)</t>
  </si>
  <si>
    <t>Саморез ПШ 16 мм (цвет)</t>
  </si>
  <si>
    <t>Брусок вентзазора</t>
  </si>
  <si>
    <t>Горизонтальная обрешетка</t>
  </si>
  <si>
    <t>Уже входят в нарезку</t>
  </si>
  <si>
    <t>Конструкционный саморез 3,5х50 мм</t>
  </si>
  <si>
    <t>Брусок 45х45х6000(цвет)</t>
  </si>
  <si>
    <t>Отлив для окна, шт. (цвет)</t>
  </si>
  <si>
    <t>Саморез ПШ 25 мм крашенный (цвет)</t>
  </si>
  <si>
    <t>Заглушка для отверстий D12 в оконной раме (цвет)</t>
  </si>
  <si>
    <t>Обрешетка цоколь</t>
  </si>
  <si>
    <t>Саморез 4,8*90 кр.шаг желтый цинк</t>
  </si>
  <si>
    <t>Подшив потолка</t>
  </si>
  <si>
    <t xml:space="preserve">на межэтажное перекрытие </t>
  </si>
  <si>
    <t>70мл на 1 м.пог</t>
  </si>
  <si>
    <t>Чердачное перекрытие</t>
  </si>
  <si>
    <t>Закладные для чердачного перекрытия</t>
  </si>
  <si>
    <t>теплая кровля изнутри</t>
  </si>
  <si>
    <t xml:space="preserve">Констр.Саморез 8*360 </t>
  </si>
  <si>
    <t>см.узлы для точного размера</t>
  </si>
  <si>
    <t xml:space="preserve">Констр.Саморез 6*120 </t>
  </si>
  <si>
    <t>обрешетка стен</t>
  </si>
  <si>
    <t>Брусок контрутепления</t>
  </si>
  <si>
    <t>брусок контрутепления</t>
  </si>
  <si>
    <t>Крепление перегородок к обрешетке через верх. Обвязку</t>
  </si>
  <si>
    <t xml:space="preserve">Плита OSB-3 2500*1250*9 мм </t>
  </si>
  <si>
    <t>ЛОГ: Не попали в покраску</t>
  </si>
  <si>
    <t>Доп материалы</t>
  </si>
  <si>
    <t>Считаем по невидимкам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</si>
</sst>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3"/>
      <color rgb="FF1F497D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22"/>
      <color theme="0"/>
      <name val="Calibri"/>
      <family val="2"/>
      <scheme val="minor"/>
    </font>
    <font>
      <b/>
      <sz val="22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006100"/>
      <name val="Calibri"/>
      <family val="2"/>
      <charset val="204"/>
    </font>
    <font>
      <sz val="20"/>
      <color theme="1"/>
      <name val="Calibri"/>
      <family val="2"/>
      <charset val="204"/>
    </font>
    <font>
      <sz val="11"/>
      <name val="Arial"/>
      <family val="2"/>
      <charset val="204"/>
    </font>
    <font>
      <sz val="24"/>
      <color theme="1"/>
      <name val="Calibri"/>
      <family val="2"/>
      <charset val="204"/>
    </font>
    <font>
      <sz val="18"/>
      <color theme="1"/>
      <name val="Calibri"/>
      <family val="2"/>
      <charset val="204"/>
    </font>
    <font>
      <sz val="18"/>
      <name val="Arial"/>
      <family val="2"/>
      <charset val="204"/>
    </font>
    <font>
      <sz val="11"/>
      <color theme="0"/>
      <name val="Calibri"/>
      <family val="2"/>
      <charset val="204"/>
    </font>
    <font>
      <sz val="11"/>
      <color indexed="2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name val="Tahoma"/>
      <family val="2"/>
      <charset val="204"/>
    </font>
    <font>
      <sz val="9"/>
      <color indexed="81"/>
      <name val="Tahoma"/>
      <family val="2"/>
      <charset val="204"/>
    </font>
    <font>
      <sz val="16"/>
      <color theme="1"/>
      <name val="Calibri"/>
      <family val="2"/>
      <charset val="204"/>
    </font>
    <font>
      <b/>
      <sz val="9"/>
      <name val="Tahoma"/>
      <family val="2"/>
      <charset val="204"/>
    </font>
    <font>
      <sz val="8"/>
      <name val="Calibri"/>
      <family val="2"/>
      <scheme val="minor"/>
    </font>
    <font>
      <b/>
      <sz val="11"/>
      <color theme="1"/>
      <name val="Arial"/>
      <family val="2"/>
      <charset val="204"/>
    </font>
  </fonts>
  <fills count="73">
    <fill>
      <patternFill patternType="none"/>
    </fill>
    <fill>
      <patternFill patternType="gray125"/>
    </fill>
    <fill>
      <patternFill patternType="solid">
        <fgColor rgb="FFE5DFEC"/>
        <bgColor rgb="FFE5DFEC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CFF99"/>
        <bgColor rgb="FFCCFF99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-0.49995422223578601"/>
        <bgColor indexed="64"/>
      </patternFill>
    </fill>
    <fill>
      <patternFill patternType="solid">
        <fgColor theme="0" tint="-0.14999847407452621"/>
        <bgColor rgb="FFFFD966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8EF6F4"/>
        <bgColor rgb="FF8EF6F4"/>
      </patternFill>
    </fill>
    <fill>
      <patternFill patternType="solid">
        <fgColor rgb="FFC6EFCE"/>
        <bgColor rgb="FFC6EFCE"/>
      </patternFill>
    </fill>
    <fill>
      <patternFill patternType="solid">
        <fgColor rgb="FFB4C6E7"/>
        <bgColor rgb="FFB4C6E7"/>
      </patternFill>
    </fill>
    <fill>
      <patternFill patternType="solid">
        <fgColor rgb="FFBFBFBF"/>
        <bgColor rgb="FFBFBFBF"/>
      </patternFill>
    </fill>
    <fill>
      <patternFill patternType="solid">
        <fgColor rgb="FF00B050"/>
        <bgColor rgb="FF00B050"/>
      </patternFill>
    </fill>
    <fill>
      <patternFill patternType="solid">
        <fgColor rgb="FFF7CAAC"/>
        <bgColor rgb="FFF7CAAC"/>
      </patternFill>
    </fill>
    <fill>
      <patternFill patternType="solid">
        <fgColor indexed="5"/>
        <bgColor indexed="5"/>
      </patternFill>
    </fill>
    <fill>
      <patternFill patternType="solid">
        <fgColor rgb="FFE965E9"/>
        <bgColor rgb="FFE965E9"/>
      </patternFill>
    </fill>
    <fill>
      <patternFill patternType="solid">
        <fgColor rgb="FF9CC2E5"/>
        <bgColor rgb="FF9CC2E5"/>
      </patternFill>
    </fill>
    <fill>
      <patternFill patternType="solid">
        <fgColor rgb="FFC5E0B3"/>
        <bgColor rgb="FFC5E0B3"/>
      </patternFill>
    </fill>
    <fill>
      <patternFill patternType="solid">
        <fgColor indexed="2"/>
        <bgColor indexed="2"/>
      </patternFill>
    </fill>
    <fill>
      <patternFill patternType="solid">
        <fgColor rgb="FFDADADA"/>
        <bgColor rgb="FFDADADA"/>
      </patternFill>
    </fill>
    <fill>
      <patternFill patternType="solid">
        <fgColor rgb="FF548135"/>
        <bgColor rgb="FF548135"/>
      </patternFill>
    </fill>
    <fill>
      <patternFill patternType="solid">
        <fgColor rgb="FFFFD965"/>
        <bgColor rgb="FFFFD965"/>
      </patternFill>
    </fill>
    <fill>
      <patternFill patternType="solid">
        <fgColor rgb="FF00B0F0"/>
        <bgColor rgb="FF00B0F0"/>
      </patternFill>
    </fill>
    <fill>
      <patternFill patternType="solid">
        <fgColor rgb="FF2E75B5"/>
        <bgColor rgb="FF2E75B5"/>
      </patternFill>
    </fill>
    <fill>
      <patternFill patternType="solid">
        <fgColor rgb="FF23D345"/>
        <bgColor rgb="FF23D34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DD6EE"/>
        <bgColor rgb="FFBDD6EE"/>
      </patternFill>
    </fill>
    <fill>
      <patternFill patternType="solid">
        <fgColor rgb="FFFFFF00"/>
        <bgColor rgb="FFBDD6EE"/>
      </patternFill>
    </fill>
    <fill>
      <patternFill patternType="solid">
        <fgColor rgb="FFFFFF00"/>
        <bgColor rgb="FFB4C6E7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indexed="2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6337778862885"/>
        <bgColor indexed="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5"/>
      </patternFill>
    </fill>
    <fill>
      <patternFill patternType="solid">
        <fgColor rgb="FF00B050"/>
        <bgColor indexed="5"/>
      </patternFill>
    </fill>
    <fill>
      <patternFill patternType="solid">
        <fgColor theme="8" tint="0.79995117038483843"/>
        <bgColor theme="0"/>
      </patternFill>
    </fill>
    <fill>
      <patternFill patternType="solid">
        <fgColor theme="8" tint="0.79995117038483843"/>
        <bgColor indexed="5"/>
      </patternFill>
    </fill>
    <fill>
      <patternFill patternType="solid">
        <fgColor rgb="FFADB9CA"/>
        <bgColor rgb="FFADB9CA"/>
      </patternFill>
    </fill>
    <fill>
      <patternFill patternType="solid">
        <fgColor rgb="FFFFFF00"/>
        <bgColor indexed="5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C5E0B3"/>
      </patternFill>
    </fill>
    <fill>
      <patternFill patternType="solid">
        <fgColor indexed="5"/>
        <bgColor rgb="FFB4C6E7"/>
      </patternFill>
    </fill>
    <fill>
      <patternFill patternType="solid">
        <fgColor rgb="FFFFC000"/>
        <bgColor rgb="FFDADADA"/>
      </patternFill>
    </fill>
    <fill>
      <patternFill patternType="solid">
        <fgColor rgb="FFAEABAB"/>
        <bgColor rgb="FFAEABAB"/>
      </patternFill>
    </fill>
    <fill>
      <patternFill patternType="solid">
        <fgColor theme="5"/>
        <bgColor theme="5"/>
      </patternFill>
    </fill>
    <fill>
      <patternFill patternType="solid">
        <fgColor rgb="FF00B050"/>
        <bgColor rgb="FFB4C6E7"/>
      </patternFill>
    </fill>
    <fill>
      <patternFill patternType="solid">
        <fgColor indexed="5"/>
        <bgColor rgb="FF00B050"/>
      </patternFill>
    </fill>
    <fill>
      <patternFill patternType="solid">
        <fgColor rgb="FFFFFF00"/>
        <bgColor theme="0"/>
      </patternFill>
    </fill>
    <fill>
      <patternFill patternType="solid">
        <fgColor theme="0"/>
        <bgColor rgb="FFC55A11"/>
      </patternFill>
    </fill>
    <fill>
      <patternFill patternType="solid">
        <fgColor rgb="FF92D050"/>
        <bgColor rgb="FF92D050"/>
      </patternFill>
    </fill>
    <fill>
      <patternFill patternType="solid">
        <fgColor theme="0"/>
        <bgColor rgb="FFFFE598"/>
      </patternFill>
    </fill>
    <fill>
      <patternFill patternType="solid">
        <fgColor rgb="FF385623"/>
        <bgColor rgb="FF385623"/>
      </patternFill>
    </fill>
    <fill>
      <patternFill patternType="solid">
        <fgColor rgb="FFC55A11"/>
        <bgColor rgb="FFC55A11"/>
      </patternFill>
    </fill>
    <fill>
      <patternFill patternType="solid">
        <fgColor rgb="FFDCDCDC"/>
        <bgColor indexed="64"/>
      </patternFill>
    </fill>
    <fill>
      <patternFill patternType="solid">
        <fgColor rgb="FF467D9B"/>
        <bgColor indexed="64"/>
      </patternFill>
    </fill>
    <fill>
      <patternFill patternType="solid">
        <fgColor rgb="FF468D46"/>
        <bgColor indexed="64"/>
      </patternFill>
    </fill>
    <fill>
      <patternFill patternType="solid">
        <fgColor rgb="FF8D46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ADCE7"/>
        <bgColor indexed="64"/>
      </patternFill>
    </fill>
    <fill>
      <patternFill patternType="solid">
        <fgColor rgb="FFBBD9BB"/>
        <bgColor indexed="64"/>
      </patternFill>
    </fill>
    <fill>
      <patternFill patternType="solid">
        <fgColor rgb="FFD9B9B9"/>
        <bgColor indexed="64"/>
      </patternFill>
    </fill>
    <fill>
      <patternFill patternType="solid">
        <fgColor rgb="FFFFFAD6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6337778862885"/>
        <bgColor rgb="FFF7CAAC"/>
      </patternFill>
    </fill>
    <fill>
      <patternFill patternType="solid">
        <fgColor rgb="FFFFE0E0"/>
        <bgColor indexed="64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rgb="FFF7CAAC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4" fillId="0" borderId="0"/>
    <xf numFmtId="0" fontId="1" fillId="0" borderId="0"/>
  </cellStyleXfs>
  <cellXfs count="640">
    <xf numFmtId="0" fontId="0" fillId="0" borderId="0" xfId="0"/>
    <xf numFmtId="0" fontId="0" fillId="0" borderId="0" xfId="0" applyAlignment="1">
      <alignment horizontal="right" vertical="center"/>
    </xf>
    <xf numFmtId="164" fontId="0" fillId="0" borderId="0" xfId="0" applyNumberFormat="1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2" xfId="0" applyNumberFormat="1" applyBorder="1" applyAlignment="1"/>
    <xf numFmtId="0" fontId="0" fillId="0" borderId="2" xfId="0" applyBorder="1" applyAlignment="1"/>
    <xf numFmtId="0" fontId="0" fillId="0" borderId="2" xfId="0" applyBorder="1" applyAlignment="1">
      <alignment vertical="center"/>
    </xf>
    <xf numFmtId="0" fontId="0" fillId="0" borderId="0" xfId="0"/>
    <xf numFmtId="0" fontId="4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/>
    <xf numFmtId="0" fontId="7" fillId="0" borderId="3" xfId="1" applyFont="1" applyBorder="1"/>
    <xf numFmtId="0" fontId="9" fillId="3" borderId="3" xfId="1" applyFont="1" applyFill="1" applyBorder="1"/>
    <xf numFmtId="0" fontId="9" fillId="0" borderId="3" xfId="1" applyFont="1" applyBorder="1"/>
    <xf numFmtId="0" fontId="9" fillId="4" borderId="3" xfId="1" applyFont="1" applyFill="1" applyBorder="1"/>
    <xf numFmtId="0" fontId="7" fillId="3" borderId="3" xfId="1" applyFont="1" applyFill="1" applyBorder="1"/>
    <xf numFmtId="0" fontId="7" fillId="0" borderId="7" xfId="1" applyFont="1" applyBorder="1"/>
    <xf numFmtId="0" fontId="2" fillId="0" borderId="8" xfId="1" applyBorder="1"/>
    <xf numFmtId="0" fontId="7" fillId="0" borderId="1" xfId="1" applyFont="1" applyBorder="1"/>
    <xf numFmtId="0" fontId="2" fillId="0" borderId="1" xfId="1" applyBorder="1"/>
    <xf numFmtId="0" fontId="7" fillId="0" borderId="9" xfId="1" applyFont="1" applyBorder="1"/>
    <xf numFmtId="0" fontId="1" fillId="0" borderId="1" xfId="1" applyFont="1" applyBorder="1"/>
    <xf numFmtId="0" fontId="7" fillId="3" borderId="1" xfId="0" applyFont="1" applyFill="1" applyBorder="1" applyAlignment="1">
      <alignment horizontal="left"/>
    </xf>
    <xf numFmtId="0" fontId="8" fillId="2" borderId="3" xfId="1" applyFont="1" applyFill="1" applyBorder="1" applyAlignment="1">
      <alignment horizontal="center" vertical="center" wrapText="1"/>
    </xf>
    <xf numFmtId="0" fontId="9" fillId="5" borderId="3" xfId="1" applyFont="1" applyFill="1" applyBorder="1"/>
    <xf numFmtId="1" fontId="9" fillId="0" borderId="3" xfId="1" applyNumberFormat="1" applyFont="1" applyBorder="1"/>
    <xf numFmtId="0" fontId="7" fillId="0" borderId="3" xfId="1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12" fillId="9" borderId="0" xfId="0" applyFont="1" applyFill="1" applyBorder="1" applyAlignment="1">
      <alignment horizontal="left" vertical="center"/>
    </xf>
    <xf numFmtId="0" fontId="7" fillId="0" borderId="0" xfId="2" applyFont="1"/>
    <xf numFmtId="0" fontId="7" fillId="0" borderId="0" xfId="2" applyFont="1" applyAlignment="1">
      <alignment horizontal="left"/>
    </xf>
    <xf numFmtId="0" fontId="15" fillId="11" borderId="0" xfId="2" applyFont="1" applyFill="1"/>
    <xf numFmtId="0" fontId="7" fillId="12" borderId="12" xfId="2" applyFont="1" applyFill="1" applyBorder="1"/>
    <xf numFmtId="0" fontId="7" fillId="14" borderId="12" xfId="2" applyFont="1" applyFill="1" applyBorder="1"/>
    <xf numFmtId="0" fontId="7" fillId="15" borderId="1" xfId="2" applyFont="1" applyFill="1" applyBorder="1"/>
    <xf numFmtId="0" fontId="7" fillId="15" borderId="12" xfId="2" applyFont="1" applyFill="1" applyBorder="1"/>
    <xf numFmtId="0" fontId="7" fillId="16" borderId="12" xfId="2" applyFont="1" applyFill="1" applyBorder="1"/>
    <xf numFmtId="0" fontId="7" fillId="17" borderId="12" xfId="2" applyFont="1" applyFill="1" applyBorder="1"/>
    <xf numFmtId="0" fontId="7" fillId="18" borderId="12" xfId="2" applyFont="1" applyFill="1" applyBorder="1"/>
    <xf numFmtId="0" fontId="7" fillId="20" borderId="12" xfId="2" applyFont="1" applyFill="1" applyBorder="1"/>
    <xf numFmtId="0" fontId="7" fillId="21" borderId="12" xfId="2" applyFont="1" applyFill="1" applyBorder="1"/>
    <xf numFmtId="0" fontId="19" fillId="0" borderId="26" xfId="2" applyFont="1" applyBorder="1"/>
    <xf numFmtId="0" fontId="7" fillId="23" borderId="12" xfId="2" applyFont="1" applyFill="1" applyBorder="1"/>
    <xf numFmtId="0" fontId="19" fillId="25" borderId="26" xfId="2" applyFont="1" applyFill="1" applyBorder="1"/>
    <xf numFmtId="0" fontId="7" fillId="16" borderId="29" xfId="2" applyFont="1" applyFill="1" applyBorder="1" applyAlignment="1">
      <alignment horizontal="center"/>
    </xf>
    <xf numFmtId="0" fontId="7" fillId="0" borderId="30" xfId="2" applyFont="1" applyBorder="1"/>
    <xf numFmtId="0" fontId="7" fillId="0" borderId="31" xfId="2" applyFont="1" applyBorder="1"/>
    <xf numFmtId="0" fontId="7" fillId="16" borderId="14" xfId="2" applyFont="1" applyFill="1" applyBorder="1" applyAlignment="1">
      <alignment horizontal="center"/>
    </xf>
    <xf numFmtId="0" fontId="7" fillId="0" borderId="32" xfId="2" applyFont="1" applyBorder="1"/>
    <xf numFmtId="0" fontId="7" fillId="0" borderId="8" xfId="2" applyFont="1" applyBorder="1"/>
    <xf numFmtId="0" fontId="7" fillId="16" borderId="33" xfId="2" applyFont="1" applyFill="1" applyBorder="1" applyAlignment="1">
      <alignment horizontal="center" vertical="center"/>
    </xf>
    <xf numFmtId="0" fontId="7" fillId="0" borderId="34" xfId="2" applyFont="1" applyBorder="1"/>
    <xf numFmtId="0" fontId="7" fillId="0" borderId="35" xfId="2" applyFont="1" applyBorder="1"/>
    <xf numFmtId="0" fontId="7" fillId="0" borderId="36" xfId="2" applyFont="1" applyBorder="1"/>
    <xf numFmtId="0" fontId="7" fillId="0" borderId="37" xfId="2" applyFont="1" applyBorder="1"/>
    <xf numFmtId="0" fontId="7" fillId="16" borderId="38" xfId="2" applyFont="1" applyFill="1" applyBorder="1" applyAlignment="1">
      <alignment horizontal="center" vertical="center"/>
    </xf>
    <xf numFmtId="0" fontId="7" fillId="0" borderId="14" xfId="2" applyFont="1" applyBorder="1"/>
    <xf numFmtId="0" fontId="7" fillId="16" borderId="12" xfId="2" applyFont="1" applyFill="1" applyBorder="1" applyAlignment="1">
      <alignment horizontal="center" vertical="center"/>
    </xf>
    <xf numFmtId="0" fontId="7" fillId="0" borderId="28" xfId="2" applyFont="1" applyBorder="1" applyAlignment="1">
      <alignment horizontal="center"/>
    </xf>
    <xf numFmtId="0" fontId="7" fillId="0" borderId="40" xfId="2" applyFont="1" applyBorder="1"/>
    <xf numFmtId="0" fontId="7" fillId="16" borderId="41" xfId="2" applyFont="1" applyFill="1" applyBorder="1" applyAlignment="1">
      <alignment horizontal="center" vertical="center"/>
    </xf>
    <xf numFmtId="0" fontId="7" fillId="16" borderId="32" xfId="2" applyFont="1" applyFill="1" applyBorder="1" applyAlignment="1">
      <alignment horizontal="center"/>
    </xf>
    <xf numFmtId="0" fontId="7" fillId="0" borderId="33" xfId="2" applyFont="1" applyBorder="1"/>
    <xf numFmtId="0" fontId="7" fillId="3" borderId="40" xfId="2" applyFont="1" applyFill="1" applyBorder="1"/>
    <xf numFmtId="0" fontId="7" fillId="3" borderId="8" xfId="2" applyFont="1" applyFill="1" applyBorder="1"/>
    <xf numFmtId="0" fontId="7" fillId="0" borderId="42" xfId="2" applyFont="1" applyBorder="1" applyAlignment="1">
      <alignment horizontal="center"/>
    </xf>
    <xf numFmtId="0" fontId="7" fillId="0" borderId="43" xfId="2" applyFont="1" applyBorder="1" applyAlignment="1">
      <alignment horizontal="center"/>
    </xf>
    <xf numFmtId="0" fontId="7" fillId="0" borderId="44" xfId="2" applyFont="1" applyBorder="1"/>
    <xf numFmtId="0" fontId="7" fillId="0" borderId="28" xfId="2" applyFont="1" applyBorder="1"/>
    <xf numFmtId="0" fontId="7" fillId="0" borderId="47" xfId="2" applyFont="1" applyBorder="1"/>
    <xf numFmtId="0" fontId="7" fillId="16" borderId="39" xfId="2" applyFont="1" applyFill="1" applyBorder="1" applyAlignment="1">
      <alignment horizontal="center" vertical="center"/>
    </xf>
    <xf numFmtId="0" fontId="7" fillId="0" borderId="48" xfId="2" applyFont="1" applyBorder="1" applyAlignment="1">
      <alignment horizontal="center"/>
    </xf>
    <xf numFmtId="0" fontId="7" fillId="21" borderId="49" xfId="2" applyFont="1" applyFill="1" applyBorder="1"/>
    <xf numFmtId="0" fontId="7" fillId="24" borderId="14" xfId="2" applyFont="1" applyFill="1" applyBorder="1"/>
    <xf numFmtId="0" fontId="7" fillId="16" borderId="30" xfId="2" applyFont="1" applyFill="1" applyBorder="1" applyAlignment="1">
      <alignment horizontal="center"/>
    </xf>
    <xf numFmtId="0" fontId="7" fillId="3" borderId="30" xfId="2" applyFont="1" applyFill="1" applyBorder="1"/>
    <xf numFmtId="0" fontId="7" fillId="19" borderId="14" xfId="2" applyFont="1" applyFill="1" applyBorder="1"/>
    <xf numFmtId="0" fontId="7" fillId="3" borderId="33" xfId="2" applyFont="1" applyFill="1" applyBorder="1"/>
    <xf numFmtId="0" fontId="7" fillId="3" borderId="8" xfId="2" applyFont="1" applyFill="1" applyBorder="1" applyAlignment="1">
      <alignment horizontal="left"/>
    </xf>
    <xf numFmtId="0" fontId="7" fillId="14" borderId="8" xfId="2" applyFont="1" applyFill="1" applyBorder="1" applyAlignment="1">
      <alignment horizontal="center"/>
    </xf>
    <xf numFmtId="0" fontId="7" fillId="23" borderId="29" xfId="2" applyFont="1" applyFill="1" applyBorder="1"/>
    <xf numFmtId="0" fontId="7" fillId="12" borderId="28" xfId="2" applyFont="1" applyFill="1" applyBorder="1"/>
    <xf numFmtId="0" fontId="7" fillId="29" borderId="8" xfId="2" applyFont="1" applyFill="1" applyBorder="1" applyAlignment="1">
      <alignment horizontal="center"/>
    </xf>
    <xf numFmtId="0" fontId="7" fillId="19" borderId="40" xfId="2" applyFont="1" applyFill="1" applyBorder="1"/>
    <xf numFmtId="0" fontId="7" fillId="0" borderId="8" xfId="2" applyFont="1" applyBorder="1" applyAlignment="1">
      <alignment horizontal="left"/>
    </xf>
    <xf numFmtId="0" fontId="7" fillId="12" borderId="8" xfId="2" applyFont="1" applyFill="1" applyBorder="1" applyAlignment="1">
      <alignment horizontal="center"/>
    </xf>
    <xf numFmtId="0" fontId="7" fillId="12" borderId="30" xfId="2" applyFont="1" applyFill="1" applyBorder="1"/>
    <xf numFmtId="0" fontId="7" fillId="0" borderId="47" xfId="2" applyFont="1" applyBorder="1" applyAlignment="1">
      <alignment horizontal="left"/>
    </xf>
    <xf numFmtId="0" fontId="7" fillId="16" borderId="47" xfId="2" applyFont="1" applyFill="1" applyBorder="1" applyAlignment="1">
      <alignment horizontal="center"/>
    </xf>
    <xf numFmtId="0" fontId="7" fillId="10" borderId="8" xfId="2" applyFont="1" applyFill="1" applyBorder="1"/>
    <xf numFmtId="0" fontId="7" fillId="0" borderId="55" xfId="2" applyFont="1" applyBorder="1"/>
    <xf numFmtId="0" fontId="7" fillId="16" borderId="8" xfId="2" applyFont="1" applyFill="1" applyBorder="1" applyAlignment="1">
      <alignment horizontal="center"/>
    </xf>
    <xf numFmtId="0" fontId="7" fillId="12" borderId="30" xfId="2" applyFont="1" applyFill="1" applyBorder="1" applyAlignment="1">
      <alignment horizontal="center"/>
    </xf>
    <xf numFmtId="0" fontId="7" fillId="19" borderId="8" xfId="2" applyFont="1" applyFill="1" applyBorder="1"/>
    <xf numFmtId="0" fontId="7" fillId="19" borderId="30" xfId="2" applyFont="1" applyFill="1" applyBorder="1"/>
    <xf numFmtId="0" fontId="7" fillId="3" borderId="30" xfId="2" applyFont="1" applyFill="1" applyBorder="1" applyAlignment="1">
      <alignment horizontal="left"/>
    </xf>
    <xf numFmtId="0" fontId="7" fillId="10" borderId="8" xfId="2" applyFont="1" applyFill="1" applyBorder="1" applyAlignment="1">
      <alignment wrapText="1"/>
    </xf>
    <xf numFmtId="0" fontId="7" fillId="19" borderId="55" xfId="2" applyFont="1" applyFill="1" applyBorder="1"/>
    <xf numFmtId="0" fontId="7" fillId="3" borderId="55" xfId="2" applyFont="1" applyFill="1" applyBorder="1"/>
    <xf numFmtId="0" fontId="7" fillId="21" borderId="8" xfId="2" applyFont="1" applyFill="1" applyBorder="1"/>
    <xf numFmtId="0" fontId="7" fillId="3" borderId="55" xfId="2" applyFont="1" applyFill="1" applyBorder="1" applyAlignment="1">
      <alignment horizontal="left"/>
    </xf>
    <xf numFmtId="0" fontId="7" fillId="38" borderId="55" xfId="2" applyFont="1" applyFill="1" applyBorder="1" applyAlignment="1">
      <alignment horizontal="center"/>
    </xf>
    <xf numFmtId="49" fontId="21" fillId="3" borderId="31" xfId="2" applyNumberFormat="1" applyFont="1" applyFill="1" applyBorder="1"/>
    <xf numFmtId="0" fontId="4" fillId="3" borderId="56" xfId="2" applyFont="1" applyFill="1" applyBorder="1"/>
    <xf numFmtId="0" fontId="4" fillId="39" borderId="56" xfId="2" applyFont="1" applyFill="1" applyBorder="1" applyAlignment="1">
      <alignment horizontal="center"/>
    </xf>
    <xf numFmtId="0" fontId="7" fillId="0" borderId="31" xfId="2" applyFont="1" applyBorder="1" applyAlignment="1">
      <alignment horizontal="center" vertical="center"/>
    </xf>
    <xf numFmtId="0" fontId="7" fillId="16" borderId="55" xfId="2" applyFont="1" applyFill="1" applyBorder="1" applyAlignment="1">
      <alignment horizontal="center"/>
    </xf>
    <xf numFmtId="0" fontId="7" fillId="3" borderId="55" xfId="2" applyFont="1" applyFill="1" applyBorder="1" applyAlignment="1">
      <alignment wrapText="1"/>
    </xf>
    <xf numFmtId="0" fontId="7" fillId="0" borderId="57" xfId="2" applyFont="1" applyBorder="1"/>
    <xf numFmtId="0" fontId="7" fillId="29" borderId="47" xfId="2" applyFont="1" applyFill="1" applyBorder="1" applyAlignment="1">
      <alignment horizontal="center"/>
    </xf>
    <xf numFmtId="0" fontId="7" fillId="0" borderId="58" xfId="2" applyFont="1" applyBorder="1"/>
    <xf numFmtId="0" fontId="7" fillId="0" borderId="30" xfId="2" applyFont="1" applyBorder="1" applyAlignment="1">
      <alignment vertical="center"/>
    </xf>
    <xf numFmtId="0" fontId="7" fillId="15" borderId="59" xfId="2" applyFont="1" applyFill="1" applyBorder="1"/>
    <xf numFmtId="0" fontId="7" fillId="3" borderId="59" xfId="2" applyFont="1" applyFill="1" applyBorder="1"/>
    <xf numFmtId="0" fontId="7" fillId="16" borderId="59" xfId="2" applyFont="1" applyFill="1" applyBorder="1" applyAlignment="1">
      <alignment horizontal="center"/>
    </xf>
    <xf numFmtId="0" fontId="7" fillId="0" borderId="59" xfId="2" applyFont="1" applyBorder="1"/>
    <xf numFmtId="0" fontId="7" fillId="0" borderId="59" xfId="2" applyFont="1" applyBorder="1" applyAlignment="1">
      <alignment horizontal="left" vertical="center" wrapText="1"/>
    </xf>
    <xf numFmtId="0" fontId="7" fillId="0" borderId="60" xfId="2" applyFont="1" applyBorder="1" applyAlignment="1">
      <alignment horizontal="left" wrapText="1"/>
    </xf>
    <xf numFmtId="0" fontId="7" fillId="12" borderId="55" xfId="2" applyFont="1" applyFill="1" applyBorder="1"/>
    <xf numFmtId="0" fontId="7" fillId="12" borderId="59" xfId="2" applyFont="1" applyFill="1" applyBorder="1"/>
    <xf numFmtId="0" fontId="7" fillId="3" borderId="31" xfId="2" applyFont="1" applyFill="1" applyBorder="1"/>
    <xf numFmtId="0" fontId="7" fillId="23" borderId="30" xfId="2" applyFont="1" applyFill="1" applyBorder="1"/>
    <xf numFmtId="0" fontId="7" fillId="23" borderId="59" xfId="2" applyFont="1" applyFill="1" applyBorder="1"/>
    <xf numFmtId="0" fontId="4" fillId="0" borderId="59" xfId="2" applyFont="1" applyBorder="1" applyAlignment="1">
      <alignment horizontal="left"/>
    </xf>
    <xf numFmtId="0" fontId="7" fillId="3" borderId="61" xfId="2" applyFont="1" applyFill="1" applyBorder="1"/>
    <xf numFmtId="0" fontId="7" fillId="3" borderId="59" xfId="2" applyFont="1" applyFill="1" applyBorder="1" applyAlignment="1">
      <alignment horizontal="left"/>
    </xf>
    <xf numFmtId="0" fontId="7" fillId="3" borderId="42" xfId="2" applyFont="1" applyFill="1" applyBorder="1"/>
    <xf numFmtId="0" fontId="7" fillId="3" borderId="60" xfId="2" applyFont="1" applyFill="1" applyBorder="1"/>
    <xf numFmtId="0" fontId="7" fillId="12" borderId="49" xfId="2" applyFont="1" applyFill="1" applyBorder="1"/>
    <xf numFmtId="0" fontId="7" fillId="19" borderId="44" xfId="2" applyFont="1" applyFill="1" applyBorder="1"/>
    <xf numFmtId="0" fontId="7" fillId="29" borderId="49" xfId="2" applyFont="1" applyFill="1" applyBorder="1"/>
    <xf numFmtId="0" fontId="7" fillId="3" borderId="58" xfId="2" applyFont="1" applyFill="1" applyBorder="1"/>
    <xf numFmtId="0" fontId="7" fillId="19" borderId="28" xfId="2" applyFont="1" applyFill="1" applyBorder="1"/>
    <xf numFmtId="0" fontId="7" fillId="12" borderId="47" xfId="2" applyFont="1" applyFill="1" applyBorder="1" applyAlignment="1">
      <alignment horizontal="center"/>
    </xf>
    <xf numFmtId="0" fontId="7" fillId="3" borderId="47" xfId="2" applyFont="1" applyFill="1" applyBorder="1"/>
    <xf numFmtId="0" fontId="7" fillId="12" borderId="14" xfId="2" applyFont="1" applyFill="1" applyBorder="1"/>
    <xf numFmtId="0" fontId="7" fillId="12" borderId="29" xfId="2" applyFont="1" applyFill="1" applyBorder="1"/>
    <xf numFmtId="0" fontId="7" fillId="45" borderId="62" xfId="2" applyFont="1" applyFill="1" applyBorder="1"/>
    <xf numFmtId="0" fontId="14" fillId="0" borderId="52" xfId="2" applyBorder="1"/>
    <xf numFmtId="0" fontId="7" fillId="46" borderId="55" xfId="2" applyFont="1" applyFill="1" applyBorder="1" applyAlignment="1">
      <alignment horizontal="center"/>
    </xf>
    <xf numFmtId="0" fontId="7" fillId="3" borderId="57" xfId="2" applyFont="1" applyFill="1" applyBorder="1"/>
    <xf numFmtId="0" fontId="7" fillId="10" borderId="14" xfId="2" applyFont="1" applyFill="1" applyBorder="1"/>
    <xf numFmtId="0" fontId="7" fillId="15" borderId="17" xfId="2" applyFont="1" applyFill="1" applyBorder="1" applyAlignment="1">
      <alignment vertical="center"/>
    </xf>
    <xf numFmtId="0" fontId="7" fillId="15" borderId="26" xfId="2" applyFont="1" applyFill="1" applyBorder="1" applyAlignment="1">
      <alignment vertical="center"/>
    </xf>
    <xf numFmtId="0" fontId="7" fillId="47" borderId="8" xfId="2" applyFont="1" applyFill="1" applyBorder="1"/>
    <xf numFmtId="0" fontId="7" fillId="17" borderId="44" xfId="2" applyFont="1" applyFill="1" applyBorder="1"/>
    <xf numFmtId="0" fontId="7" fillId="0" borderId="55" xfId="2" applyFont="1" applyBorder="1" applyAlignment="1">
      <alignment horizontal="left"/>
    </xf>
    <xf numFmtId="0" fontId="7" fillId="0" borderId="30" xfId="2" applyFont="1" applyBorder="1" applyAlignment="1">
      <alignment horizontal="left"/>
    </xf>
    <xf numFmtId="0" fontId="9" fillId="3" borderId="30" xfId="2" applyFont="1" applyFill="1" applyBorder="1" applyAlignment="1">
      <alignment horizontal="left"/>
    </xf>
    <xf numFmtId="0" fontId="4" fillId="3" borderId="30" xfId="2" applyFont="1" applyFill="1" applyBorder="1" applyAlignment="1">
      <alignment horizontal="left"/>
    </xf>
    <xf numFmtId="0" fontId="7" fillId="19" borderId="59" xfId="2" applyFont="1" applyFill="1" applyBorder="1"/>
    <xf numFmtId="0" fontId="7" fillId="12" borderId="59" xfId="2" applyFont="1" applyFill="1" applyBorder="1" applyAlignment="1">
      <alignment horizontal="center"/>
    </xf>
    <xf numFmtId="0" fontId="7" fillId="0" borderId="60" xfId="2" applyFont="1" applyBorder="1"/>
    <xf numFmtId="0" fontId="21" fillId="0" borderId="33" xfId="2" applyFont="1" applyBorder="1"/>
    <xf numFmtId="0" fontId="7" fillId="3" borderId="0" xfId="2" applyFont="1" applyFill="1"/>
    <xf numFmtId="0" fontId="7" fillId="12" borderId="8" xfId="2" applyFont="1" applyFill="1" applyBorder="1"/>
    <xf numFmtId="0" fontId="7" fillId="46" borderId="8" xfId="2" applyFont="1" applyFill="1" applyBorder="1" applyAlignment="1">
      <alignment horizontal="center"/>
    </xf>
    <xf numFmtId="0" fontId="7" fillId="48" borderId="1" xfId="2" applyFont="1" applyFill="1" applyBorder="1"/>
    <xf numFmtId="0" fontId="7" fillId="29" borderId="59" xfId="2" applyFont="1" applyFill="1" applyBorder="1" applyAlignment="1">
      <alignment horizontal="center"/>
    </xf>
    <xf numFmtId="0" fontId="7" fillId="10" borderId="30" xfId="2" applyFont="1" applyFill="1" applyBorder="1"/>
    <xf numFmtId="0" fontId="7" fillId="17" borderId="30" xfId="2" applyFont="1" applyFill="1" applyBorder="1"/>
    <xf numFmtId="0" fontId="7" fillId="12" borderId="47" xfId="2" applyFont="1" applyFill="1" applyBorder="1"/>
    <xf numFmtId="0" fontId="7" fillId="19" borderId="47" xfId="2" applyFont="1" applyFill="1" applyBorder="1"/>
    <xf numFmtId="0" fontId="7" fillId="16" borderId="30" xfId="2" applyFont="1" applyFill="1" applyBorder="1"/>
    <xf numFmtId="0" fontId="7" fillId="22" borderId="8" xfId="2" applyFont="1" applyFill="1" applyBorder="1"/>
    <xf numFmtId="0" fontId="7" fillId="12" borderId="37" xfId="2" applyFont="1" applyFill="1" applyBorder="1"/>
    <xf numFmtId="0" fontId="7" fillId="3" borderId="30" xfId="2" applyFont="1" applyFill="1" applyBorder="1" applyAlignment="1">
      <alignment wrapText="1"/>
    </xf>
    <xf numFmtId="0" fontId="7" fillId="22" borderId="30" xfId="2" applyFont="1" applyFill="1" applyBorder="1"/>
    <xf numFmtId="0" fontId="7" fillId="22" borderId="47" xfId="2" applyFont="1" applyFill="1" applyBorder="1"/>
    <xf numFmtId="0" fontId="7" fillId="0" borderId="58" xfId="2" applyFont="1" applyBorder="1" applyAlignment="1">
      <alignment horizontal="center" wrapText="1"/>
    </xf>
    <xf numFmtId="0" fontId="7" fillId="18" borderId="59" xfId="2" applyFont="1" applyFill="1" applyBorder="1" applyAlignment="1">
      <alignment horizontal="center"/>
    </xf>
    <xf numFmtId="0" fontId="7" fillId="21" borderId="55" xfId="2" applyFont="1" applyFill="1" applyBorder="1"/>
    <xf numFmtId="0" fontId="7" fillId="52" borderId="8" xfId="2" applyFont="1" applyFill="1" applyBorder="1" applyAlignment="1">
      <alignment horizontal="center"/>
    </xf>
    <xf numFmtId="49" fontId="7" fillId="43" borderId="30" xfId="2" applyNumberFormat="1" applyFont="1" applyFill="1" applyBorder="1" applyAlignment="1">
      <alignment wrapText="1"/>
    </xf>
    <xf numFmtId="0" fontId="7" fillId="54" borderId="0" xfId="2" applyFont="1" applyFill="1"/>
    <xf numFmtId="0" fontId="7" fillId="23" borderId="47" xfId="2" applyFont="1" applyFill="1" applyBorder="1"/>
    <xf numFmtId="49" fontId="7" fillId="15" borderId="8" xfId="2" applyNumberFormat="1" applyFont="1" applyFill="1" applyBorder="1" applyAlignment="1">
      <alignment wrapText="1"/>
    </xf>
    <xf numFmtId="0" fontId="21" fillId="0" borderId="0" xfId="2" applyFont="1"/>
    <xf numFmtId="0" fontId="7" fillId="0" borderId="59" xfId="2" applyFont="1" applyBorder="1" applyAlignment="1">
      <alignment horizontal="left"/>
    </xf>
    <xf numFmtId="0" fontId="7" fillId="14" borderId="30" xfId="2" applyFont="1" applyFill="1" applyBorder="1" applyAlignment="1">
      <alignment horizontal="center"/>
    </xf>
    <xf numFmtId="0" fontId="7" fillId="23" borderId="8" xfId="2" applyFont="1" applyFill="1" applyBorder="1"/>
    <xf numFmtId="0" fontId="7" fillId="23" borderId="30" xfId="2" applyFont="1" applyFill="1" applyBorder="1" applyAlignment="1">
      <alignment vertical="center"/>
    </xf>
    <xf numFmtId="0" fontId="7" fillId="0" borderId="48" xfId="2" applyFont="1" applyBorder="1"/>
    <xf numFmtId="0" fontId="7" fillId="0" borderId="0" xfId="2" applyFont="1" applyAlignment="1">
      <alignment horizontal="right"/>
    </xf>
    <xf numFmtId="0" fontId="7" fillId="49" borderId="63" xfId="2" applyFont="1" applyFill="1" applyBorder="1"/>
    <xf numFmtId="0" fontId="7" fillId="49" borderId="36" xfId="2" applyFont="1" applyFill="1" applyBorder="1"/>
    <xf numFmtId="0" fontId="7" fillId="10" borderId="12" xfId="2" applyFont="1" applyFill="1" applyBorder="1"/>
    <xf numFmtId="0" fontId="7" fillId="26" borderId="14" xfId="2" applyFont="1" applyFill="1" applyBorder="1"/>
    <xf numFmtId="0" fontId="7" fillId="19" borderId="12" xfId="2" applyFont="1" applyFill="1" applyBorder="1"/>
    <xf numFmtId="0" fontId="7" fillId="22" borderId="12" xfId="2" applyFont="1" applyFill="1" applyBorder="1"/>
    <xf numFmtId="0" fontId="7" fillId="24" borderId="12" xfId="2" applyFont="1" applyFill="1" applyBorder="1"/>
    <xf numFmtId="0" fontId="7" fillId="43" borderId="1" xfId="2" applyFont="1" applyFill="1" applyBorder="1"/>
    <xf numFmtId="0" fontId="7" fillId="16" borderId="55" xfId="2" applyFont="1" applyFill="1" applyBorder="1" applyAlignment="1">
      <alignment horizontal="left"/>
    </xf>
    <xf numFmtId="0" fontId="7" fillId="16" borderId="8" xfId="2" applyFont="1" applyFill="1" applyBorder="1" applyAlignment="1">
      <alignment horizontal="left"/>
    </xf>
    <xf numFmtId="0" fontId="7" fillId="12" borderId="8" xfId="2" applyFont="1" applyFill="1" applyBorder="1" applyAlignment="1">
      <alignment horizontal="left"/>
    </xf>
    <xf numFmtId="0" fontId="7" fillId="35" borderId="8" xfId="2" applyFont="1" applyFill="1" applyBorder="1" applyAlignment="1">
      <alignment horizontal="left"/>
    </xf>
    <xf numFmtId="0" fontId="7" fillId="16" borderId="47" xfId="2" applyFont="1" applyFill="1" applyBorder="1" applyAlignment="1">
      <alignment horizontal="left"/>
    </xf>
    <xf numFmtId="0" fontId="7" fillId="16" borderId="30" xfId="2" applyFont="1" applyFill="1" applyBorder="1" applyAlignment="1">
      <alignment horizontal="left"/>
    </xf>
    <xf numFmtId="0" fontId="7" fillId="12" borderId="59" xfId="2" applyFont="1" applyFill="1" applyBorder="1" applyAlignment="1">
      <alignment horizontal="left"/>
    </xf>
    <xf numFmtId="0" fontId="7" fillId="18" borderId="8" xfId="2" applyFont="1" applyFill="1" applyBorder="1" applyAlignment="1">
      <alignment horizontal="left"/>
    </xf>
    <xf numFmtId="0" fontId="7" fillId="0" borderId="65" xfId="2" applyFont="1" applyBorder="1"/>
    <xf numFmtId="0" fontId="7" fillId="0" borderId="22" xfId="2" applyFont="1" applyBorder="1"/>
    <xf numFmtId="0" fontId="7" fillId="17" borderId="59" xfId="2" applyFont="1" applyFill="1" applyBorder="1"/>
    <xf numFmtId="0" fontId="7" fillId="16" borderId="30" xfId="2" applyFont="1" applyFill="1" applyBorder="1" applyAlignment="1">
      <alignment horizontal="left" vertical="center"/>
    </xf>
    <xf numFmtId="0" fontId="7" fillId="57" borderId="1" xfId="2" applyFont="1" applyFill="1" applyBorder="1"/>
    <xf numFmtId="0" fontId="0" fillId="0" borderId="0" xfId="0"/>
    <xf numFmtId="0" fontId="0" fillId="0" borderId="0" xfId="0"/>
    <xf numFmtId="0" fontId="14" fillId="0" borderId="0" xfId="2"/>
    <xf numFmtId="0" fontId="7" fillId="0" borderId="0" xfId="2" applyFont="1" applyAlignment="1">
      <alignment horizontal="center"/>
    </xf>
    <xf numFmtId="0" fontId="7" fillId="3" borderId="67" xfId="2" applyFont="1" applyFill="1" applyBorder="1"/>
    <xf numFmtId="0" fontId="7" fillId="16" borderId="67" xfId="2" applyFont="1" applyFill="1" applyBorder="1" applyAlignment="1">
      <alignment horizontal="left"/>
    </xf>
    <xf numFmtId="0" fontId="7" fillId="0" borderId="67" xfId="2" applyFont="1" applyBorder="1"/>
    <xf numFmtId="0" fontId="7" fillId="0" borderId="67" xfId="2" applyFont="1" applyBorder="1" applyAlignment="1">
      <alignment horizontal="left"/>
    </xf>
    <xf numFmtId="0" fontId="7" fillId="3" borderId="67" xfId="2" applyFont="1" applyFill="1" applyBorder="1" applyAlignment="1">
      <alignment horizontal="left"/>
    </xf>
    <xf numFmtId="0" fontId="7" fillId="12" borderId="67" xfId="2" applyFont="1" applyFill="1" applyBorder="1" applyAlignment="1">
      <alignment horizontal="left"/>
    </xf>
    <xf numFmtId="0" fontId="29" fillId="0" borderId="63" xfId="2" applyFont="1" applyBorder="1" applyAlignment="1">
      <alignment horizontal="center" vertical="center"/>
    </xf>
    <xf numFmtId="0" fontId="29" fillId="0" borderId="35" xfId="2" applyFont="1" applyBorder="1" applyAlignment="1">
      <alignment horizontal="center" vertical="center"/>
    </xf>
    <xf numFmtId="0" fontId="29" fillId="0" borderId="36" xfId="2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59" borderId="66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64" borderId="69" xfId="0" applyFill="1" applyBorder="1"/>
    <xf numFmtId="0" fontId="0" fillId="64" borderId="70" xfId="0" applyFill="1" applyBorder="1"/>
    <xf numFmtId="0" fontId="0" fillId="65" borderId="72" xfId="0" applyFill="1" applyBorder="1"/>
    <xf numFmtId="0" fontId="0" fillId="65" borderId="73" xfId="0" applyFill="1" applyBorder="1"/>
    <xf numFmtId="0" fontId="0" fillId="66" borderId="69" xfId="0" applyFill="1" applyBorder="1"/>
    <xf numFmtId="0" fontId="0" fillId="66" borderId="70" xfId="0" applyFill="1" applyBorder="1"/>
    <xf numFmtId="0" fontId="0" fillId="66" borderId="72" xfId="0" applyFill="1" applyBorder="1"/>
    <xf numFmtId="0" fontId="0" fillId="66" borderId="73" xfId="0" applyFill="1" applyBorder="1"/>
    <xf numFmtId="0" fontId="0" fillId="68" borderId="75" xfId="0" applyFill="1" applyBorder="1"/>
    <xf numFmtId="0" fontId="0" fillId="68" borderId="76" xfId="0" applyFill="1" applyBorder="1"/>
    <xf numFmtId="0" fontId="0" fillId="64" borderId="72" xfId="0" applyFill="1" applyBorder="1"/>
    <xf numFmtId="0" fontId="0" fillId="64" borderId="73" xfId="0" applyFill="1" applyBorder="1"/>
    <xf numFmtId="0" fontId="0" fillId="65" borderId="69" xfId="0" applyFill="1" applyBorder="1"/>
    <xf numFmtId="0" fontId="0" fillId="65" borderId="70" xfId="0" applyFill="1" applyBorder="1"/>
    <xf numFmtId="0" fontId="0" fillId="64" borderId="79" xfId="0" applyFill="1" applyBorder="1"/>
    <xf numFmtId="0" fontId="0" fillId="66" borderId="79" xfId="0" applyFill="1" applyBorder="1"/>
    <xf numFmtId="0" fontId="0" fillId="67" borderId="76" xfId="0" applyFill="1" applyBorder="1"/>
    <xf numFmtId="0" fontId="0" fillId="64" borderId="78" xfId="0" applyFill="1" applyBorder="1"/>
    <xf numFmtId="0" fontId="0" fillId="65" borderId="78" xfId="0" applyFill="1" applyBorder="1"/>
    <xf numFmtId="0" fontId="0" fillId="65" borderId="79" xfId="0" applyFill="1" applyBorder="1"/>
    <xf numFmtId="0" fontId="0" fillId="66" borderId="78" xfId="0" applyFill="1" applyBorder="1"/>
    <xf numFmtId="0" fontId="0" fillId="67" borderId="75" xfId="0" applyFill="1" applyBorder="1"/>
    <xf numFmtId="0" fontId="0" fillId="0" borderId="78" xfId="0" applyBorder="1"/>
    <xf numFmtId="0" fontId="0" fillId="0" borderId="69" xfId="0" applyBorder="1"/>
    <xf numFmtId="0" fontId="0" fillId="0" borderId="72" xfId="0" applyBorder="1"/>
    <xf numFmtId="0" fontId="0" fillId="0" borderId="79" xfId="0" applyBorder="1"/>
    <xf numFmtId="0" fontId="0" fillId="0" borderId="70" xfId="0" applyBorder="1"/>
    <xf numFmtId="0" fontId="0" fillId="0" borderId="73" xfId="0" applyBorder="1"/>
    <xf numFmtId="0" fontId="7" fillId="0" borderId="0" xfId="2" applyFont="1" applyAlignment="1">
      <alignment horizontal="center"/>
    </xf>
    <xf numFmtId="0" fontId="7" fillId="0" borderId="0" xfId="2" applyFont="1" applyAlignment="1">
      <alignment horizontal="center" vertical="center" wrapText="1"/>
    </xf>
    <xf numFmtId="0" fontId="0" fillId="0" borderId="0" xfId="0"/>
    <xf numFmtId="0" fontId="0" fillId="0" borderId="69" xfId="0" applyBorder="1"/>
    <xf numFmtId="0" fontId="14" fillId="0" borderId="0" xfId="2"/>
    <xf numFmtId="0" fontId="7" fillId="10" borderId="69" xfId="2" applyFont="1" applyFill="1" applyBorder="1"/>
    <xf numFmtId="0" fontId="7" fillId="12" borderId="69" xfId="2" applyFont="1" applyFill="1" applyBorder="1"/>
    <xf numFmtId="0" fontId="7" fillId="15" borderId="69" xfId="2" applyFont="1" applyFill="1" applyBorder="1"/>
    <xf numFmtId="0" fontId="7" fillId="17" borderId="69" xfId="2" applyFont="1" applyFill="1" applyBorder="1"/>
    <xf numFmtId="0" fontId="7" fillId="19" borderId="69" xfId="2" applyFont="1" applyFill="1" applyBorder="1"/>
    <xf numFmtId="0" fontId="7" fillId="23" borderId="69" xfId="2" applyFont="1" applyFill="1" applyBorder="1"/>
    <xf numFmtId="0" fontId="7" fillId="22" borderId="69" xfId="2" applyFont="1" applyFill="1" applyBorder="1"/>
    <xf numFmtId="0" fontId="7" fillId="25" borderId="68" xfId="2" applyFont="1" applyFill="1" applyBorder="1"/>
    <xf numFmtId="0" fontId="7" fillId="24" borderId="69" xfId="2" applyFont="1" applyFill="1" applyBorder="1"/>
    <xf numFmtId="0" fontId="7" fillId="26" borderId="69" xfId="2" applyFont="1" applyFill="1" applyBorder="1"/>
    <xf numFmtId="0" fontId="7" fillId="43" borderId="69" xfId="2" applyFont="1" applyFill="1" applyBorder="1"/>
    <xf numFmtId="0" fontId="7" fillId="19" borderId="68" xfId="2" applyFont="1" applyFill="1" applyBorder="1"/>
    <xf numFmtId="0" fontId="7" fillId="16" borderId="68" xfId="2" applyFont="1" applyFill="1" applyBorder="1" applyAlignment="1">
      <alignment horizontal="left"/>
    </xf>
    <xf numFmtId="0" fontId="7" fillId="48" borderId="69" xfId="2" applyFont="1" applyFill="1" applyBorder="1"/>
    <xf numFmtId="0" fontId="7" fillId="16" borderId="69" xfId="2" applyFont="1" applyFill="1" applyBorder="1" applyAlignment="1">
      <alignment horizontal="left"/>
    </xf>
    <xf numFmtId="0" fontId="7" fillId="3" borderId="69" xfId="2" applyFont="1" applyFill="1" applyBorder="1"/>
    <xf numFmtId="0" fontId="7" fillId="12" borderId="68" xfId="2" applyFont="1" applyFill="1" applyBorder="1"/>
    <xf numFmtId="0" fontId="7" fillId="3" borderId="68" xfId="2" applyFont="1" applyFill="1" applyBorder="1"/>
    <xf numFmtId="0" fontId="7" fillId="19" borderId="70" xfId="2" applyFont="1" applyFill="1" applyBorder="1"/>
    <xf numFmtId="0" fontId="7" fillId="12" borderId="70" xfId="2" applyFont="1" applyFill="1" applyBorder="1" applyAlignment="1">
      <alignment horizontal="left"/>
    </xf>
    <xf numFmtId="0" fontId="7" fillId="0" borderId="70" xfId="2" applyFont="1" applyBorder="1"/>
    <xf numFmtId="0" fontId="7" fillId="0" borderId="73" xfId="2" applyFont="1" applyBorder="1"/>
    <xf numFmtId="0" fontId="7" fillId="0" borderId="68" xfId="2" applyFont="1" applyBorder="1"/>
    <xf numFmtId="0" fontId="7" fillId="0" borderId="71" xfId="2" applyFont="1" applyBorder="1"/>
    <xf numFmtId="0" fontId="7" fillId="0" borderId="69" xfId="2" applyFont="1" applyBorder="1"/>
    <xf numFmtId="0" fontId="7" fillId="0" borderId="72" xfId="2" applyFont="1" applyBorder="1"/>
    <xf numFmtId="0" fontId="7" fillId="12" borderId="70" xfId="2" applyFont="1" applyFill="1" applyBorder="1"/>
    <xf numFmtId="0" fontId="7" fillId="3" borderId="70" xfId="2" applyFont="1" applyFill="1" applyBorder="1"/>
    <xf numFmtId="0" fontId="7" fillId="16" borderId="70" xfId="2" applyFont="1" applyFill="1" applyBorder="1" applyAlignment="1">
      <alignment horizontal="left"/>
    </xf>
    <xf numFmtId="0" fontId="7" fillId="41" borderId="69" xfId="2" applyFont="1" applyFill="1" applyBorder="1" applyAlignment="1">
      <alignment horizontal="left"/>
    </xf>
    <xf numFmtId="0" fontId="7" fillId="3" borderId="69" xfId="2" applyFont="1" applyFill="1" applyBorder="1" applyAlignment="1">
      <alignment horizontal="left"/>
    </xf>
    <xf numFmtId="0" fontId="7" fillId="29" borderId="69" xfId="2" applyFont="1" applyFill="1" applyBorder="1"/>
    <xf numFmtId="0" fontId="7" fillId="12" borderId="69" xfId="2" applyFont="1" applyFill="1" applyBorder="1" applyAlignment="1">
      <alignment horizontal="left"/>
    </xf>
    <xf numFmtId="0" fontId="7" fillId="17" borderId="68" xfId="2" applyFont="1" applyFill="1" applyBorder="1"/>
    <xf numFmtId="0" fontId="7" fillId="17" borderId="70" xfId="2" applyFont="1" applyFill="1" applyBorder="1"/>
    <xf numFmtId="0" fontId="7" fillId="3" borderId="70" xfId="2" applyFont="1" applyFill="1" applyBorder="1" applyAlignment="1">
      <alignment horizontal="left"/>
    </xf>
    <xf numFmtId="0" fontId="7" fillId="21" borderId="70" xfId="2" applyFont="1" applyFill="1" applyBorder="1"/>
    <xf numFmtId="0" fontId="7" fillId="23" borderId="68" xfId="2" applyFont="1" applyFill="1" applyBorder="1"/>
    <xf numFmtId="49" fontId="7" fillId="43" borderId="68" xfId="2" applyNumberFormat="1" applyFont="1" applyFill="1" applyBorder="1" applyAlignment="1">
      <alignment wrapText="1"/>
    </xf>
    <xf numFmtId="49" fontId="7" fillId="43" borderId="69" xfId="2" applyNumberFormat="1" applyFont="1" applyFill="1" applyBorder="1" applyAlignment="1">
      <alignment wrapText="1"/>
    </xf>
    <xf numFmtId="49" fontId="7" fillId="15" borderId="69" xfId="2" applyNumberFormat="1" applyFont="1" applyFill="1" applyBorder="1" applyAlignment="1">
      <alignment wrapText="1"/>
    </xf>
    <xf numFmtId="0" fontId="7" fillId="12" borderId="68" xfId="2" applyFont="1" applyFill="1" applyBorder="1" applyAlignment="1">
      <alignment horizontal="left"/>
    </xf>
    <xf numFmtId="0" fontId="7" fillId="10" borderId="70" xfId="2" applyFont="1" applyFill="1" applyBorder="1"/>
    <xf numFmtId="0" fontId="7" fillId="0" borderId="70" xfId="2" applyFont="1" applyBorder="1" applyAlignment="1">
      <alignment horizontal="left"/>
    </xf>
    <xf numFmtId="0" fontId="7" fillId="31" borderId="69" xfId="2" applyFont="1" applyFill="1" applyBorder="1" applyAlignment="1">
      <alignment horizontal="left"/>
    </xf>
    <xf numFmtId="0" fontId="7" fillId="10" borderId="68" xfId="2" applyFont="1" applyFill="1" applyBorder="1"/>
    <xf numFmtId="0" fontId="7" fillId="0" borderId="69" xfId="2" applyFont="1" applyBorder="1" applyAlignment="1">
      <alignment horizontal="left"/>
    </xf>
    <xf numFmtId="0" fontId="7" fillId="18" borderId="70" xfId="2" applyFont="1" applyFill="1" applyBorder="1" applyAlignment="1">
      <alignment horizontal="left"/>
    </xf>
    <xf numFmtId="0" fontId="7" fillId="3" borderId="71" xfId="2" applyFont="1" applyFill="1" applyBorder="1"/>
    <xf numFmtId="0" fontId="7" fillId="3" borderId="73" xfId="2" applyFont="1" applyFill="1" applyBorder="1"/>
    <xf numFmtId="0" fontId="7" fillId="3" borderId="68" xfId="2" applyFont="1" applyFill="1" applyBorder="1" applyAlignment="1">
      <alignment horizontal="left"/>
    </xf>
    <xf numFmtId="0" fontId="7" fillId="3" borderId="72" xfId="2" applyFont="1" applyFill="1" applyBorder="1"/>
    <xf numFmtId="0" fontId="7" fillId="16" borderId="68" xfId="2" applyFont="1" applyFill="1" applyBorder="1" applyAlignment="1">
      <alignment horizontal="left" vertical="center"/>
    </xf>
    <xf numFmtId="0" fontId="7" fillId="16" borderId="69" xfId="2" applyFont="1" applyFill="1" applyBorder="1" applyAlignment="1">
      <alignment horizontal="left" vertical="center"/>
    </xf>
    <xf numFmtId="49" fontId="7" fillId="3" borderId="69" xfId="2" applyNumberFormat="1" applyFont="1" applyFill="1" applyBorder="1" applyAlignment="1">
      <alignment wrapText="1"/>
    </xf>
    <xf numFmtId="0" fontId="7" fillId="23" borderId="70" xfId="2" applyFont="1" applyFill="1" applyBorder="1"/>
    <xf numFmtId="49" fontId="7" fillId="3" borderId="70" xfId="2" applyNumberFormat="1" applyFont="1" applyFill="1" applyBorder="1" applyAlignment="1">
      <alignment wrapText="1"/>
    </xf>
    <xf numFmtId="0" fontId="7" fillId="16" borderId="70" xfId="2" applyFont="1" applyFill="1" applyBorder="1" applyAlignment="1">
      <alignment horizontal="left" vertical="center"/>
    </xf>
    <xf numFmtId="0" fontId="7" fillId="0" borderId="68" xfId="2" applyFont="1" applyBorder="1" applyAlignment="1">
      <alignment horizontal="left"/>
    </xf>
    <xf numFmtId="0" fontId="7" fillId="24" borderId="68" xfId="2" applyFont="1" applyFill="1" applyBorder="1"/>
    <xf numFmtId="0" fontId="7" fillId="14" borderId="68" xfId="2" applyFont="1" applyFill="1" applyBorder="1" applyAlignment="1">
      <alignment horizontal="left"/>
    </xf>
    <xf numFmtId="0" fontId="7" fillId="20" borderId="69" xfId="2" applyFont="1" applyFill="1" applyBorder="1"/>
    <xf numFmtId="0" fontId="7" fillId="16" borderId="69" xfId="2" applyFont="1" applyFill="1" applyBorder="1"/>
    <xf numFmtId="0" fontId="7" fillId="3" borderId="69" xfId="2" applyFont="1" applyFill="1" applyBorder="1" applyAlignment="1">
      <alignment vertical="center"/>
    </xf>
    <xf numFmtId="0" fontId="7" fillId="18" borderId="69" xfId="2" applyFont="1" applyFill="1" applyBorder="1" applyAlignment="1">
      <alignment horizontal="left"/>
    </xf>
    <xf numFmtId="0" fontId="14" fillId="0" borderId="69" xfId="2" applyBorder="1"/>
    <xf numFmtId="0" fontId="7" fillId="0" borderId="70" xfId="2" applyFont="1" applyBorder="1" applyAlignment="1">
      <alignment vertical="center"/>
    </xf>
    <xf numFmtId="0" fontId="7" fillId="22" borderId="70" xfId="2" applyFont="1" applyFill="1" applyBorder="1"/>
    <xf numFmtId="0" fontId="7" fillId="57" borderId="69" xfId="2" applyFont="1" applyFill="1" applyBorder="1"/>
    <xf numFmtId="0" fontId="7" fillId="21" borderId="69" xfId="2" applyFont="1" applyFill="1" applyBorder="1"/>
    <xf numFmtId="0" fontId="7" fillId="0" borderId="77" xfId="2" applyFont="1" applyBorder="1"/>
    <xf numFmtId="0" fontId="7" fillId="16" borderId="71" xfId="2" applyFont="1" applyFill="1" applyBorder="1" applyAlignment="1">
      <alignment horizontal="center" vertical="center"/>
    </xf>
    <xf numFmtId="0" fontId="7" fillId="0" borderId="78" xfId="2" applyFont="1" applyBorder="1"/>
    <xf numFmtId="0" fontId="7" fillId="16" borderId="72" xfId="2" applyFont="1" applyFill="1" applyBorder="1" applyAlignment="1">
      <alignment horizontal="center" vertical="center"/>
    </xf>
    <xf numFmtId="0" fontId="7" fillId="0" borderId="79" xfId="2" applyFont="1" applyBorder="1"/>
    <xf numFmtId="0" fontId="7" fillId="16" borderId="73" xfId="2" applyFont="1" applyFill="1" applyBorder="1" applyAlignment="1">
      <alignment horizontal="center" vertical="center"/>
    </xf>
    <xf numFmtId="0" fontId="7" fillId="16" borderId="78" xfId="2" applyFont="1" applyFill="1" applyBorder="1" applyAlignment="1">
      <alignment horizontal="center"/>
    </xf>
    <xf numFmtId="0" fontId="7" fillId="16" borderId="68" xfId="2" applyFont="1" applyFill="1" applyBorder="1" applyAlignment="1">
      <alignment horizontal="center"/>
    </xf>
    <xf numFmtId="0" fontId="7" fillId="16" borderId="69" xfId="2" applyFont="1" applyFill="1" applyBorder="1" applyAlignment="1">
      <alignment horizontal="center"/>
    </xf>
    <xf numFmtId="0" fontId="7" fillId="14" borderId="69" xfId="2" applyFont="1" applyFill="1" applyBorder="1" applyAlignment="1">
      <alignment horizontal="center"/>
    </xf>
    <xf numFmtId="0" fontId="7" fillId="30" borderId="68" xfId="2" applyFont="1" applyFill="1" applyBorder="1" applyAlignment="1">
      <alignment horizontal="center"/>
    </xf>
    <xf numFmtId="0" fontId="7" fillId="31" borderId="68" xfId="2" applyFont="1" applyFill="1" applyBorder="1" applyAlignment="1">
      <alignment horizontal="center"/>
    </xf>
    <xf numFmtId="0" fontId="7" fillId="30" borderId="69" xfId="2" applyFont="1" applyFill="1" applyBorder="1" applyAlignment="1">
      <alignment horizontal="center"/>
    </xf>
    <xf numFmtId="0" fontId="7" fillId="31" borderId="69" xfId="2" applyFont="1" applyFill="1" applyBorder="1" applyAlignment="1">
      <alignment horizontal="center"/>
    </xf>
    <xf numFmtId="0" fontId="7" fillId="30" borderId="70" xfId="2" applyFont="1" applyFill="1" applyBorder="1" applyAlignment="1">
      <alignment horizontal="center"/>
    </xf>
    <xf numFmtId="0" fontId="7" fillId="31" borderId="70" xfId="2" applyFont="1" applyFill="1" applyBorder="1" applyAlignment="1">
      <alignment horizontal="center"/>
    </xf>
    <xf numFmtId="0" fontId="7" fillId="32" borderId="69" xfId="2" applyFont="1" applyFill="1" applyBorder="1"/>
    <xf numFmtId="0" fontId="14" fillId="0" borderId="72" xfId="2" applyBorder="1"/>
    <xf numFmtId="0" fontId="7" fillId="12" borderId="70" xfId="2" applyFont="1" applyFill="1" applyBorder="1" applyAlignment="1">
      <alignment horizontal="center"/>
    </xf>
    <xf numFmtId="0" fontId="21" fillId="0" borderId="71" xfId="2" applyFont="1" applyBorder="1"/>
    <xf numFmtId="0" fontId="21" fillId="0" borderId="72" xfId="2" applyFont="1" applyBorder="1"/>
    <xf numFmtId="0" fontId="9" fillId="0" borderId="69" xfId="2" applyFont="1" applyBorder="1" applyAlignment="1">
      <alignment horizontal="left"/>
    </xf>
    <xf numFmtId="0" fontId="7" fillId="16" borderId="70" xfId="2" applyFont="1" applyFill="1" applyBorder="1" applyAlignment="1">
      <alignment horizontal="center"/>
    </xf>
    <xf numFmtId="0" fontId="7" fillId="33" borderId="69" xfId="2" applyFont="1" applyFill="1" applyBorder="1" applyAlignment="1">
      <alignment horizontal="left"/>
    </xf>
    <xf numFmtId="0" fontId="7" fillId="12" borderId="69" xfId="2" applyFont="1" applyFill="1" applyBorder="1" applyAlignment="1">
      <alignment horizontal="center"/>
    </xf>
    <xf numFmtId="0" fontId="7" fillId="29" borderId="69" xfId="2" applyFont="1" applyFill="1" applyBorder="1" applyAlignment="1">
      <alignment horizontal="center"/>
    </xf>
    <xf numFmtId="0" fontId="7" fillId="3" borderId="69" xfId="2" applyFont="1" applyFill="1" applyBorder="1" applyAlignment="1">
      <alignment wrapText="1"/>
    </xf>
    <xf numFmtId="0" fontId="9" fillId="16" borderId="69" xfId="2" applyFont="1" applyFill="1" applyBorder="1" applyAlignment="1">
      <alignment horizontal="center"/>
    </xf>
    <xf numFmtId="0" fontId="4" fillId="3" borderId="72" xfId="2" applyFont="1" applyFill="1" applyBorder="1" applyAlignment="1">
      <alignment horizontal="left" wrapText="1"/>
    </xf>
    <xf numFmtId="0" fontId="1" fillId="34" borderId="68" xfId="2" applyFont="1" applyFill="1" applyBorder="1" applyAlignment="1">
      <alignment horizontal="center" vertical="center"/>
    </xf>
    <xf numFmtId="0" fontId="7" fillId="35" borderId="68" xfId="2" applyFont="1" applyFill="1" applyBorder="1" applyAlignment="1">
      <alignment horizontal="center"/>
    </xf>
    <xf numFmtId="0" fontId="1" fillId="34" borderId="69" xfId="2" applyFont="1" applyFill="1" applyBorder="1" applyAlignment="1">
      <alignment horizontal="center" vertical="center"/>
    </xf>
    <xf numFmtId="0" fontId="7" fillId="35" borderId="69" xfId="2" applyFont="1" applyFill="1" applyBorder="1" applyAlignment="1">
      <alignment horizontal="center"/>
    </xf>
    <xf numFmtId="0" fontId="1" fillId="36" borderId="69" xfId="2" applyFont="1" applyFill="1" applyBorder="1" applyAlignment="1">
      <alignment horizontal="center" vertical="center"/>
    </xf>
    <xf numFmtId="0" fontId="1" fillId="36" borderId="70" xfId="2" applyFont="1" applyFill="1" applyBorder="1" applyAlignment="1">
      <alignment horizontal="center" vertical="center"/>
    </xf>
    <xf numFmtId="0" fontId="7" fillId="37" borderId="69" xfId="2" applyFont="1" applyFill="1" applyBorder="1" applyAlignment="1">
      <alignment horizontal="center"/>
    </xf>
    <xf numFmtId="0" fontId="7" fillId="37" borderId="70" xfId="2" applyFont="1" applyFill="1" applyBorder="1" applyAlignment="1">
      <alignment horizontal="center"/>
    </xf>
    <xf numFmtId="0" fontId="7" fillId="35" borderId="70" xfId="2" applyFont="1" applyFill="1" applyBorder="1" applyAlignment="1">
      <alignment horizontal="center"/>
    </xf>
    <xf numFmtId="0" fontId="7" fillId="3" borderId="70" xfId="2" applyFont="1" applyFill="1" applyBorder="1" applyAlignment="1">
      <alignment wrapText="1"/>
    </xf>
    <xf numFmtId="0" fontId="7" fillId="10" borderId="69" xfId="2" applyFont="1" applyFill="1" applyBorder="1" applyAlignment="1">
      <alignment wrapText="1"/>
    </xf>
    <xf numFmtId="0" fontId="7" fillId="18" borderId="69" xfId="2" applyFont="1" applyFill="1" applyBorder="1" applyAlignment="1">
      <alignment horizontal="center"/>
    </xf>
    <xf numFmtId="0" fontId="7" fillId="3" borderId="69" xfId="2" applyFont="1" applyFill="1" applyBorder="1" applyAlignment="1">
      <alignment vertical="center" wrapText="1"/>
    </xf>
    <xf numFmtId="0" fontId="7" fillId="29" borderId="70" xfId="2" applyFont="1" applyFill="1" applyBorder="1" applyAlignment="1">
      <alignment horizontal="center"/>
    </xf>
    <xf numFmtId="49" fontId="21" fillId="3" borderId="71" xfId="2" applyNumberFormat="1" applyFont="1" applyFill="1" applyBorder="1"/>
    <xf numFmtId="0" fontId="7" fillId="38" borderId="69" xfId="2" applyFont="1" applyFill="1" applyBorder="1" applyAlignment="1">
      <alignment horizontal="center"/>
    </xf>
    <xf numFmtId="0" fontId="7" fillId="40" borderId="69" xfId="2" applyFont="1" applyFill="1" applyBorder="1" applyAlignment="1">
      <alignment horizontal="center"/>
    </xf>
    <xf numFmtId="0" fontId="9" fillId="3" borderId="69" xfId="2" applyFont="1" applyFill="1" applyBorder="1"/>
    <xf numFmtId="0" fontId="7" fillId="0" borderId="72" xfId="2" applyFont="1" applyBorder="1" applyAlignment="1">
      <alignment wrapText="1"/>
    </xf>
    <xf numFmtId="0" fontId="7" fillId="15" borderId="68" xfId="2" applyFont="1" applyFill="1" applyBorder="1"/>
    <xf numFmtId="0" fontId="7" fillId="3" borderId="68" xfId="2" applyFont="1" applyFill="1" applyBorder="1" applyAlignment="1">
      <alignment wrapText="1"/>
    </xf>
    <xf numFmtId="0" fontId="7" fillId="3" borderId="71" xfId="2" applyFont="1" applyFill="1" applyBorder="1" applyAlignment="1">
      <alignment wrapText="1"/>
    </xf>
    <xf numFmtId="0" fontId="7" fillId="0" borderId="72" xfId="2" applyFont="1" applyBorder="1" applyAlignment="1">
      <alignment horizontal="left" wrapText="1"/>
    </xf>
    <xf numFmtId="0" fontId="21" fillId="3" borderId="72" xfId="2" applyFont="1" applyFill="1" applyBorder="1"/>
    <xf numFmtId="0" fontId="7" fillId="41" borderId="69" xfId="2" applyFont="1" applyFill="1" applyBorder="1" applyAlignment="1">
      <alignment horizontal="center"/>
    </xf>
    <xf numFmtId="0" fontId="7" fillId="3" borderId="68" xfId="2" applyFont="1" applyFill="1" applyBorder="1" applyAlignment="1">
      <alignment vertical="center"/>
    </xf>
    <xf numFmtId="0" fontId="7" fillId="16" borderId="68" xfId="2" applyFont="1" applyFill="1" applyBorder="1" applyAlignment="1">
      <alignment horizontal="center" vertical="center"/>
    </xf>
    <xf numFmtId="0" fontId="7" fillId="3" borderId="68" xfId="2" applyFont="1" applyFill="1" applyBorder="1" applyAlignment="1">
      <alignment vertical="center" wrapText="1"/>
    </xf>
    <xf numFmtId="0" fontId="4" fillId="3" borderId="71" xfId="2" applyFont="1" applyFill="1" applyBorder="1" applyAlignment="1">
      <alignment vertical="center"/>
    </xf>
    <xf numFmtId="0" fontId="7" fillId="42" borderId="70" xfId="2" applyFont="1" applyFill="1" applyBorder="1" applyAlignment="1">
      <alignment horizontal="center"/>
    </xf>
    <xf numFmtId="0" fontId="21" fillId="3" borderId="73" xfId="2" applyFont="1" applyFill="1" applyBorder="1"/>
    <xf numFmtId="0" fontId="4" fillId="3" borderId="71" xfId="2" applyFont="1" applyFill="1" applyBorder="1"/>
    <xf numFmtId="49" fontId="7" fillId="15" borderId="70" xfId="2" applyNumberFormat="1" applyFont="1" applyFill="1" applyBorder="1" applyAlignment="1">
      <alignment wrapText="1"/>
    </xf>
    <xf numFmtId="0" fontId="4" fillId="0" borderId="68" xfId="2" applyFont="1" applyBorder="1" applyAlignment="1">
      <alignment horizontal="left"/>
    </xf>
    <xf numFmtId="0" fontId="7" fillId="17" borderId="49" xfId="2" applyFont="1" applyFill="1" applyBorder="1"/>
    <xf numFmtId="0" fontId="7" fillId="17" borderId="14" xfId="2" applyFont="1" applyFill="1" applyBorder="1"/>
    <xf numFmtId="0" fontId="7" fillId="17" borderId="43" xfId="2" applyFont="1" applyFill="1" applyBorder="1"/>
    <xf numFmtId="0" fontId="7" fillId="10" borderId="49" xfId="2" applyFont="1" applyFill="1" applyBorder="1"/>
    <xf numFmtId="0" fontId="9" fillId="3" borderId="69" xfId="2" applyFont="1" applyFill="1" applyBorder="1" applyAlignment="1">
      <alignment horizontal="left"/>
    </xf>
    <xf numFmtId="0" fontId="7" fillId="46" borderId="69" xfId="2" applyFont="1" applyFill="1" applyBorder="1" applyAlignment="1">
      <alignment horizontal="center"/>
    </xf>
    <xf numFmtId="0" fontId="7" fillId="22" borderId="68" xfId="2" applyFont="1" applyFill="1" applyBorder="1"/>
    <xf numFmtId="0" fontId="7" fillId="18" borderId="68" xfId="2" applyFont="1" applyFill="1" applyBorder="1" applyAlignment="1">
      <alignment horizontal="center"/>
    </xf>
    <xf numFmtId="0" fontId="7" fillId="14" borderId="70" xfId="2" applyFont="1" applyFill="1" applyBorder="1" applyAlignment="1">
      <alignment horizontal="center"/>
    </xf>
    <xf numFmtId="0" fontId="7" fillId="29" borderId="68" xfId="2" applyFont="1" applyFill="1" applyBorder="1"/>
    <xf numFmtId="0" fontId="7" fillId="49" borderId="69" xfId="2" applyFont="1" applyFill="1" applyBorder="1"/>
    <xf numFmtId="0" fontId="7" fillId="49" borderId="70" xfId="2" applyFont="1" applyFill="1" applyBorder="1"/>
    <xf numFmtId="0" fontId="7" fillId="29" borderId="24" xfId="2" applyFont="1" applyFill="1" applyBorder="1" applyAlignment="1">
      <alignment vertical="center"/>
    </xf>
    <xf numFmtId="0" fontId="7" fillId="29" borderId="25" xfId="2" applyFont="1" applyFill="1" applyBorder="1" applyAlignment="1">
      <alignment vertical="center"/>
    </xf>
    <xf numFmtId="0" fontId="7" fillId="12" borderId="77" xfId="2" applyFont="1" applyFill="1" applyBorder="1"/>
    <xf numFmtId="0" fontId="7" fillId="21" borderId="78" xfId="2" applyFont="1" applyFill="1" applyBorder="1"/>
    <xf numFmtId="0" fontId="7" fillId="19" borderId="78" xfId="2" applyFont="1" applyFill="1" applyBorder="1"/>
    <xf numFmtId="0" fontId="7" fillId="19" borderId="79" xfId="2" applyFont="1" applyFill="1" applyBorder="1"/>
    <xf numFmtId="0" fontId="7" fillId="24" borderId="70" xfId="2" applyFont="1" applyFill="1" applyBorder="1"/>
    <xf numFmtId="0" fontId="7" fillId="41" borderId="70" xfId="2" applyFont="1" applyFill="1" applyBorder="1" applyAlignment="1">
      <alignment horizontal="center"/>
    </xf>
    <xf numFmtId="0" fontId="7" fillId="0" borderId="71" xfId="2" applyFont="1" applyBorder="1" applyAlignment="1">
      <alignment vertical="center" wrapText="1"/>
    </xf>
    <xf numFmtId="0" fontId="7" fillId="0" borderId="72" xfId="2" applyFont="1" applyBorder="1" applyAlignment="1">
      <alignment vertical="center" wrapText="1"/>
    </xf>
    <xf numFmtId="0" fontId="7" fillId="50" borderId="69" xfId="2" applyFont="1" applyFill="1" applyBorder="1" applyAlignment="1">
      <alignment horizontal="center"/>
    </xf>
    <xf numFmtId="0" fontId="7" fillId="18" borderId="69" xfId="2" applyFont="1" applyFill="1" applyBorder="1" applyAlignment="1">
      <alignment horizontal="center" vertical="center"/>
    </xf>
    <xf numFmtId="0" fontId="7" fillId="51" borderId="69" xfId="2" applyFont="1" applyFill="1" applyBorder="1" applyAlignment="1">
      <alignment horizontal="center"/>
    </xf>
    <xf numFmtId="0" fontId="7" fillId="16" borderId="70" xfId="2" applyFont="1" applyFill="1" applyBorder="1"/>
    <xf numFmtId="0" fontId="7" fillId="52" borderId="68" xfId="2" applyFont="1" applyFill="1" applyBorder="1" applyAlignment="1">
      <alignment horizontal="center"/>
    </xf>
    <xf numFmtId="0" fontId="7" fillId="53" borderId="69" xfId="2" applyFont="1" applyFill="1" applyBorder="1"/>
    <xf numFmtId="0" fontId="7" fillId="52" borderId="69" xfId="2" applyFont="1" applyFill="1" applyBorder="1" applyAlignment="1">
      <alignment horizontal="center"/>
    </xf>
    <xf numFmtId="0" fontId="7" fillId="52" borderId="70" xfId="2" applyFont="1" applyFill="1" applyBorder="1" applyAlignment="1">
      <alignment horizontal="center"/>
    </xf>
    <xf numFmtId="0" fontId="7" fillId="18" borderId="70" xfId="2" applyFont="1" applyFill="1" applyBorder="1" applyAlignment="1">
      <alignment horizontal="center"/>
    </xf>
    <xf numFmtId="0" fontId="7" fillId="21" borderId="68" xfId="2" applyFont="1" applyFill="1" applyBorder="1"/>
    <xf numFmtId="49" fontId="7" fillId="43" borderId="8" xfId="2" applyNumberFormat="1" applyFont="1" applyFill="1" applyBorder="1" applyAlignment="1">
      <alignment wrapText="1"/>
    </xf>
    <xf numFmtId="0" fontId="21" fillId="32" borderId="69" xfId="2" applyFont="1" applyFill="1" applyBorder="1"/>
    <xf numFmtId="0" fontId="7" fillId="18" borderId="68" xfId="2" applyFont="1" applyFill="1" applyBorder="1"/>
    <xf numFmtId="49" fontId="7" fillId="55" borderId="69" xfId="2" applyNumberFormat="1" applyFont="1" applyFill="1" applyBorder="1" applyAlignment="1">
      <alignment wrapText="1"/>
    </xf>
    <xf numFmtId="49" fontId="7" fillId="55" borderId="70" xfId="2" applyNumberFormat="1" applyFont="1" applyFill="1" applyBorder="1" applyAlignment="1">
      <alignment wrapText="1"/>
    </xf>
    <xf numFmtId="0" fontId="7" fillId="14" borderId="68" xfId="2" applyFont="1" applyFill="1" applyBorder="1" applyAlignment="1">
      <alignment horizontal="center"/>
    </xf>
    <xf numFmtId="0" fontId="7" fillId="0" borderId="69" xfId="2" applyFont="1" applyBorder="1" applyAlignment="1">
      <alignment vertical="center"/>
    </xf>
    <xf numFmtId="0" fontId="7" fillId="14" borderId="69" xfId="2" applyFont="1" applyFill="1" applyBorder="1" applyAlignment="1">
      <alignment horizontal="center" vertical="center"/>
    </xf>
    <xf numFmtId="0" fontId="7" fillId="0" borderId="69" xfId="2" applyFont="1" applyBorder="1" applyAlignment="1">
      <alignment wrapText="1"/>
    </xf>
    <xf numFmtId="0" fontId="7" fillId="15" borderId="8" xfId="2" applyFont="1" applyFill="1" applyBorder="1"/>
    <xf numFmtId="0" fontId="7" fillId="14" borderId="47" xfId="2" applyFont="1" applyFill="1" applyBorder="1" applyAlignment="1">
      <alignment horizontal="center"/>
    </xf>
    <xf numFmtId="0" fontId="7" fillId="16" borderId="26" xfId="2" applyFont="1" applyFill="1" applyBorder="1"/>
    <xf numFmtId="0" fontId="7" fillId="12" borderId="68" xfId="2" applyFont="1" applyFill="1" applyBorder="1" applyAlignment="1">
      <alignment horizontal="center"/>
    </xf>
    <xf numFmtId="0" fontId="11" fillId="70" borderId="0" xfId="0" applyFont="1" applyFill="1" applyBorder="1"/>
    <xf numFmtId="0" fontId="0" fillId="70" borderId="0" xfId="0" applyFill="1" applyBorder="1"/>
    <xf numFmtId="0" fontId="17" fillId="0" borderId="28" xfId="2" applyFont="1" applyBorder="1" applyAlignment="1"/>
    <xf numFmtId="0" fontId="17" fillId="0" borderId="46" xfId="2" applyFont="1" applyBorder="1" applyAlignment="1"/>
    <xf numFmtId="0" fontId="7" fillId="0" borderId="69" xfId="2" applyFont="1" applyBorder="1" applyAlignment="1">
      <alignment horizontal="left" vertical="center"/>
    </xf>
    <xf numFmtId="0" fontId="7" fillId="0" borderId="35" xfId="2" applyFont="1" applyBorder="1" applyAlignment="1">
      <alignment horizontal="center" vertical="center"/>
    </xf>
    <xf numFmtId="0" fontId="7" fillId="0" borderId="35" xfId="2" applyFont="1" applyBorder="1" applyAlignment="1">
      <alignment horizontal="left" vertical="center"/>
    </xf>
    <xf numFmtId="0" fontId="7" fillId="36" borderId="35" xfId="2" applyFont="1" applyFill="1" applyBorder="1" applyAlignment="1">
      <alignment horizontal="center" vertical="center"/>
    </xf>
    <xf numFmtId="0" fontId="17" fillId="44" borderId="69" xfId="2" applyFont="1" applyFill="1" applyBorder="1" applyAlignment="1">
      <alignment horizontal="left" vertical="center"/>
    </xf>
    <xf numFmtId="0" fontId="7" fillId="71" borderId="69" xfId="2" applyFont="1" applyFill="1" applyBorder="1" applyAlignment="1">
      <alignment horizontal="left" vertical="center"/>
    </xf>
    <xf numFmtId="0" fontId="7" fillId="72" borderId="69" xfId="2" applyFont="1" applyFill="1" applyBorder="1" applyAlignment="1">
      <alignment horizontal="left" vertical="center"/>
    </xf>
    <xf numFmtId="0" fontId="17" fillId="0" borderId="69" xfId="2" applyFont="1" applyBorder="1" applyAlignment="1">
      <alignment horizontal="left" vertical="center"/>
    </xf>
    <xf numFmtId="0" fontId="14" fillId="0" borderId="69" xfId="2" applyBorder="1" applyAlignment="1">
      <alignment horizontal="left" vertical="center"/>
    </xf>
    <xf numFmtId="0" fontId="14" fillId="0" borderId="63" xfId="2" applyBorder="1" applyAlignment="1">
      <alignment vertical="center"/>
    </xf>
    <xf numFmtId="0" fontId="29" fillId="0" borderId="26" xfId="2" applyFont="1" applyBorder="1" applyAlignment="1"/>
    <xf numFmtId="0" fontId="11" fillId="6" borderId="8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10" fillId="7" borderId="0" xfId="0" applyFont="1" applyFill="1" applyAlignment="1">
      <alignment horizontal="center"/>
    </xf>
    <xf numFmtId="0" fontId="13" fillId="7" borderId="0" xfId="0" applyFont="1" applyFill="1" applyAlignment="1">
      <alignment horizontal="left" vertical="center"/>
    </xf>
    <xf numFmtId="0" fontId="11" fillId="0" borderId="66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61" borderId="66" xfId="0" applyFont="1" applyFill="1" applyBorder="1" applyAlignment="1">
      <alignment horizontal="center" vertical="center" wrapText="1"/>
    </xf>
    <xf numFmtId="0" fontId="11" fillId="61" borderId="8" xfId="0" applyFont="1" applyFill="1" applyBorder="1" applyAlignment="1">
      <alignment horizontal="center" vertical="center" wrapText="1"/>
    </xf>
    <xf numFmtId="0" fontId="11" fillId="59" borderId="66" xfId="0" applyFont="1" applyFill="1" applyBorder="1" applyAlignment="1">
      <alignment horizontal="center" vertical="center" wrapText="1"/>
    </xf>
    <xf numFmtId="0" fontId="11" fillId="60" borderId="66" xfId="0" applyFont="1" applyFill="1" applyBorder="1" applyAlignment="1">
      <alignment horizontal="center" vertical="center" wrapText="1"/>
    </xf>
    <xf numFmtId="0" fontId="11" fillId="58" borderId="78" xfId="0" applyFont="1" applyFill="1" applyBorder="1"/>
    <xf numFmtId="0" fontId="11" fillId="58" borderId="69" xfId="0" applyFont="1" applyFill="1" applyBorder="1"/>
    <xf numFmtId="0" fontId="11" fillId="58" borderId="72" xfId="0" applyFont="1" applyFill="1" applyBorder="1"/>
    <xf numFmtId="0" fontId="11" fillId="64" borderId="78" xfId="0" applyFont="1" applyFill="1" applyBorder="1"/>
    <xf numFmtId="0" fontId="11" fillId="64" borderId="69" xfId="0" applyFont="1" applyFill="1" applyBorder="1"/>
    <xf numFmtId="0" fontId="11" fillId="64" borderId="72" xfId="0" applyFont="1" applyFill="1" applyBorder="1"/>
    <xf numFmtId="0" fontId="11" fillId="65" borderId="78" xfId="0" applyFont="1" applyFill="1" applyBorder="1"/>
    <xf numFmtId="0" fontId="11" fillId="65" borderId="69" xfId="0" applyFont="1" applyFill="1" applyBorder="1"/>
    <xf numFmtId="0" fontId="11" fillId="65" borderId="72" xfId="0" applyFont="1" applyFill="1" applyBorder="1"/>
    <xf numFmtId="0" fontId="11" fillId="66" borderId="78" xfId="0" applyFont="1" applyFill="1" applyBorder="1"/>
    <xf numFmtId="0" fontId="11" fillId="66" borderId="69" xfId="0" applyFont="1" applyFill="1" applyBorder="1"/>
    <xf numFmtId="0" fontId="11" fillId="66" borderId="72" xfId="0" applyFont="1" applyFill="1" applyBorder="1"/>
    <xf numFmtId="0" fontId="11" fillId="67" borderId="75" xfId="0" applyFont="1" applyFill="1" applyBorder="1"/>
    <xf numFmtId="0" fontId="11" fillId="68" borderId="75" xfId="0" applyFont="1" applyFill="1" applyBorder="1"/>
    <xf numFmtId="0" fontId="11" fillId="58" borderId="77" xfId="0" applyFont="1" applyFill="1" applyBorder="1"/>
    <xf numFmtId="0" fontId="11" fillId="58" borderId="68" xfId="0" applyFont="1" applyFill="1" applyBorder="1"/>
    <xf numFmtId="0" fontId="11" fillId="58" borderId="71" xfId="0" applyFont="1" applyFill="1" applyBorder="1"/>
    <xf numFmtId="0" fontId="11" fillId="64" borderId="77" xfId="0" applyFont="1" applyFill="1" applyBorder="1"/>
    <xf numFmtId="0" fontId="11" fillId="64" borderId="68" xfId="0" applyFont="1" applyFill="1" applyBorder="1"/>
    <xf numFmtId="0" fontId="11" fillId="64" borderId="71" xfId="0" applyFont="1" applyFill="1" applyBorder="1"/>
    <xf numFmtId="0" fontId="11" fillId="65" borderId="77" xfId="0" applyFont="1" applyFill="1" applyBorder="1"/>
    <xf numFmtId="0" fontId="11" fillId="65" borderId="68" xfId="0" applyFont="1" applyFill="1" applyBorder="1"/>
    <xf numFmtId="0" fontId="11" fillId="65" borderId="71" xfId="0" applyFont="1" applyFill="1" applyBorder="1"/>
    <xf numFmtId="0" fontId="11" fillId="66" borderId="77" xfId="0" applyFont="1" applyFill="1" applyBorder="1"/>
    <xf numFmtId="0" fontId="11" fillId="66" borderId="68" xfId="0" applyFont="1" applyFill="1" applyBorder="1"/>
    <xf numFmtId="0" fontId="11" fillId="66" borderId="71" xfId="0" applyFont="1" applyFill="1" applyBorder="1"/>
    <xf numFmtId="0" fontId="11" fillId="67" borderId="74" xfId="0" applyFont="1" applyFill="1" applyBorder="1"/>
    <xf numFmtId="0" fontId="11" fillId="68" borderId="74" xfId="0" applyFont="1" applyFill="1" applyBorder="1"/>
    <xf numFmtId="0" fontId="11" fillId="62" borderId="66" xfId="0" applyFont="1" applyFill="1" applyBorder="1" applyAlignment="1">
      <alignment horizontal="center" vertical="center" wrapText="1"/>
    </xf>
    <xf numFmtId="0" fontId="11" fillId="62" borderId="8" xfId="0" applyFont="1" applyFill="1" applyBorder="1" applyAlignment="1">
      <alignment horizontal="center" vertical="center" wrapText="1"/>
    </xf>
    <xf numFmtId="0" fontId="11" fillId="63" borderId="66" xfId="0" applyFont="1" applyFill="1" applyBorder="1" applyAlignment="1">
      <alignment horizontal="center" vertical="center" wrapText="1"/>
    </xf>
    <xf numFmtId="0" fontId="11" fillId="63" borderId="8" xfId="0" applyFont="1" applyFill="1" applyBorder="1" applyAlignment="1">
      <alignment horizontal="center" vertical="center" wrapText="1"/>
    </xf>
    <xf numFmtId="0" fontId="11" fillId="60" borderId="8" xfId="0" applyFont="1" applyFill="1" applyBorder="1" applyAlignment="1">
      <alignment horizontal="center" vertical="center" wrapText="1"/>
    </xf>
    <xf numFmtId="0" fontId="18" fillId="13" borderId="17" xfId="2" applyFont="1" applyFill="1" applyBorder="1" applyAlignment="1">
      <alignment horizontal="center" vertical="center" wrapText="1"/>
    </xf>
    <xf numFmtId="0" fontId="17" fillId="0" borderId="20" xfId="2" applyFont="1" applyBorder="1"/>
    <xf numFmtId="0" fontId="17" fillId="0" borderId="23" xfId="2" applyFont="1" applyBorder="1"/>
    <xf numFmtId="0" fontId="26" fillId="0" borderId="17" xfId="2" applyFont="1" applyBorder="1" applyAlignment="1">
      <alignment horizontal="left"/>
    </xf>
    <xf numFmtId="0" fontId="17" fillId="0" borderId="64" xfId="2" applyFont="1" applyBorder="1"/>
    <xf numFmtId="0" fontId="7" fillId="14" borderId="13" xfId="2" applyFont="1" applyFill="1" applyBorder="1" applyAlignment="1">
      <alignment horizontal="center"/>
    </xf>
    <xf numFmtId="0" fontId="17" fillId="0" borderId="14" xfId="2" applyFont="1" applyBorder="1"/>
    <xf numFmtId="0" fontId="7" fillId="16" borderId="13" xfId="2" applyFont="1" applyFill="1" applyBorder="1" applyAlignment="1">
      <alignment horizontal="center"/>
    </xf>
    <xf numFmtId="14" fontId="19" fillId="0" borderId="50" xfId="2" applyNumberFormat="1" applyFont="1" applyBorder="1" applyAlignment="1">
      <alignment horizontal="left"/>
    </xf>
    <xf numFmtId="0" fontId="7" fillId="18" borderId="13" xfId="2" applyFont="1" applyFill="1" applyBorder="1" applyAlignment="1">
      <alignment horizontal="center"/>
    </xf>
    <xf numFmtId="0" fontId="7" fillId="20" borderId="13" xfId="2" applyFont="1" applyFill="1" applyBorder="1" applyAlignment="1">
      <alignment horizontal="center"/>
    </xf>
    <xf numFmtId="0" fontId="7" fillId="15" borderId="17" xfId="2" applyFont="1" applyFill="1" applyBorder="1" applyAlignment="1">
      <alignment horizontal="center" vertical="center" wrapText="1"/>
    </xf>
    <xf numFmtId="0" fontId="7" fillId="15" borderId="20" xfId="2" applyFont="1" applyFill="1" applyBorder="1" applyAlignment="1">
      <alignment horizontal="center" vertical="center" wrapText="1"/>
    </xf>
    <xf numFmtId="0" fontId="7" fillId="15" borderId="27" xfId="2" applyFont="1" applyFill="1" applyBorder="1" applyAlignment="1">
      <alignment horizontal="center" vertical="center" wrapText="1"/>
    </xf>
    <xf numFmtId="0" fontId="7" fillId="15" borderId="24" xfId="2" applyFont="1" applyFill="1" applyBorder="1" applyAlignment="1">
      <alignment horizontal="center" vertical="center" wrapText="1"/>
    </xf>
    <xf numFmtId="0" fontId="7" fillId="0" borderId="62" xfId="2" applyFont="1" applyBorder="1" applyAlignment="1">
      <alignment horizontal="center" vertical="center"/>
    </xf>
    <xf numFmtId="0" fontId="17" fillId="0" borderId="28" xfId="2" applyFont="1" applyBorder="1"/>
    <xf numFmtId="0" fontId="17" fillId="0" borderId="43" xfId="2" applyFont="1" applyBorder="1"/>
    <xf numFmtId="0" fontId="17" fillId="0" borderId="54" xfId="2" applyFont="1" applyBorder="1" applyAlignment="1">
      <alignment horizontal="center" vertical="center"/>
    </xf>
    <xf numFmtId="0" fontId="17" fillId="0" borderId="51" xfId="2" applyFont="1" applyBorder="1" applyAlignment="1">
      <alignment horizontal="center" vertical="center"/>
    </xf>
    <xf numFmtId="0" fontId="17" fillId="0" borderId="77" xfId="2" applyFont="1" applyBorder="1" applyAlignment="1">
      <alignment horizontal="center" vertical="center"/>
    </xf>
    <xf numFmtId="0" fontId="17" fillId="0" borderId="78" xfId="2" applyFont="1" applyBorder="1" applyAlignment="1">
      <alignment horizontal="center" vertical="center"/>
    </xf>
    <xf numFmtId="0" fontId="17" fillId="0" borderId="79" xfId="2" applyFont="1" applyBorder="1" applyAlignment="1">
      <alignment horizontal="center" vertical="center"/>
    </xf>
    <xf numFmtId="0" fontId="7" fillId="0" borderId="54" xfId="2" applyFont="1" applyBorder="1" applyAlignment="1">
      <alignment horizontal="center" vertical="center"/>
    </xf>
    <xf numFmtId="0" fontId="7" fillId="0" borderId="51" xfId="2" applyFont="1" applyBorder="1" applyAlignment="1">
      <alignment horizontal="center" vertical="center"/>
    </xf>
    <xf numFmtId="0" fontId="7" fillId="0" borderId="53" xfId="2" applyFont="1" applyBorder="1" applyAlignment="1">
      <alignment horizontal="center" vertical="center"/>
    </xf>
    <xf numFmtId="0" fontId="17" fillId="0" borderId="53" xfId="2" applyFont="1" applyBorder="1"/>
    <xf numFmtId="0" fontId="17" fillId="0" borderId="51" xfId="2" applyFont="1" applyBorder="1"/>
    <xf numFmtId="0" fontId="7" fillId="15" borderId="23" xfId="2" applyFont="1" applyFill="1" applyBorder="1" applyAlignment="1">
      <alignment horizontal="center" vertical="center" wrapText="1"/>
    </xf>
    <xf numFmtId="0" fontId="7" fillId="0" borderId="49" xfId="2" applyFont="1" applyBorder="1" applyAlignment="1">
      <alignment horizontal="center" vertical="center"/>
    </xf>
    <xf numFmtId="0" fontId="17" fillId="0" borderId="40" xfId="2" applyFont="1" applyBorder="1"/>
    <xf numFmtId="0" fontId="7" fillId="0" borderId="77" xfId="2" applyFont="1" applyBorder="1" applyAlignment="1">
      <alignment horizontal="center" vertical="center"/>
    </xf>
    <xf numFmtId="0" fontId="7" fillId="0" borderId="78" xfId="2" applyFont="1" applyBorder="1" applyAlignment="1">
      <alignment horizontal="center" vertical="center"/>
    </xf>
    <xf numFmtId="0" fontId="7" fillId="0" borderId="79" xfId="2" applyFont="1" applyBorder="1" applyAlignment="1">
      <alignment horizontal="center" vertical="center"/>
    </xf>
    <xf numFmtId="0" fontId="17" fillId="0" borderId="79" xfId="2" applyFont="1" applyBorder="1"/>
    <xf numFmtId="0" fontId="7" fillId="69" borderId="17" xfId="2" applyFont="1" applyFill="1" applyBorder="1" applyAlignment="1">
      <alignment horizontal="center" vertical="center" wrapText="1"/>
    </xf>
    <xf numFmtId="0" fontId="7" fillId="69" borderId="20" xfId="2" applyFont="1" applyFill="1" applyBorder="1" applyAlignment="1">
      <alignment horizontal="center" vertical="center" wrapText="1"/>
    </xf>
    <xf numFmtId="0" fontId="7" fillId="69" borderId="23" xfId="2" applyFont="1" applyFill="1" applyBorder="1" applyAlignment="1">
      <alignment horizontal="center" vertical="center" wrapText="1"/>
    </xf>
    <xf numFmtId="0" fontId="17" fillId="0" borderId="54" xfId="2" applyFont="1" applyBorder="1" applyAlignment="1">
      <alignment horizontal="center" vertical="center" wrapText="1"/>
    </xf>
    <xf numFmtId="0" fontId="17" fillId="0" borderId="51" xfId="2" applyFont="1" applyBorder="1" applyAlignment="1">
      <alignment horizontal="center" vertical="center" wrapText="1"/>
    </xf>
    <xf numFmtId="0" fontId="17" fillId="0" borderId="53" xfId="2" applyFont="1" applyBorder="1" applyAlignment="1">
      <alignment horizontal="center" vertical="center" wrapText="1"/>
    </xf>
    <xf numFmtId="0" fontId="7" fillId="0" borderId="54" xfId="2" applyFont="1" applyBorder="1" applyAlignment="1">
      <alignment horizontal="center" vertical="center" wrapText="1"/>
    </xf>
    <xf numFmtId="0" fontId="7" fillId="69" borderId="17" xfId="2" applyFont="1" applyFill="1" applyBorder="1" applyAlignment="1">
      <alignment horizontal="center" vertical="center"/>
    </xf>
    <xf numFmtId="0" fontId="7" fillId="69" borderId="20" xfId="2" applyFont="1" applyFill="1" applyBorder="1" applyAlignment="1">
      <alignment horizontal="center" vertical="center"/>
    </xf>
    <xf numFmtId="0" fontId="7" fillId="69" borderId="23" xfId="2" applyFont="1" applyFill="1" applyBorder="1" applyAlignment="1">
      <alignment horizontal="center" vertical="center"/>
    </xf>
    <xf numFmtId="0" fontId="17" fillId="0" borderId="53" xfId="2" applyFont="1" applyBorder="1" applyAlignment="1">
      <alignment horizontal="center" vertical="center"/>
    </xf>
    <xf numFmtId="0" fontId="7" fillId="15" borderId="17" xfId="2" applyFont="1" applyFill="1" applyBorder="1" applyAlignment="1">
      <alignment horizontal="center" vertical="center"/>
    </xf>
    <xf numFmtId="0" fontId="17" fillId="0" borderId="27" xfId="2" applyFont="1" applyBorder="1"/>
    <xf numFmtId="0" fontId="7" fillId="56" borderId="17" xfId="2" applyFont="1" applyFill="1" applyBorder="1" applyAlignment="1">
      <alignment horizontal="center" vertical="center"/>
    </xf>
    <xf numFmtId="0" fontId="7" fillId="0" borderId="51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center" wrapText="1"/>
    </xf>
    <xf numFmtId="0" fontId="17" fillId="0" borderId="24" xfId="2" applyFont="1" applyBorder="1"/>
    <xf numFmtId="0" fontId="7" fillId="29" borderId="15" xfId="2" applyFont="1" applyFill="1" applyBorder="1" applyAlignment="1">
      <alignment horizontal="center" vertical="center"/>
    </xf>
    <xf numFmtId="0" fontId="7" fillId="15" borderId="15" xfId="2" applyFont="1" applyFill="1" applyBorder="1" applyAlignment="1">
      <alignment horizontal="center" vertical="center"/>
    </xf>
    <xf numFmtId="0" fontId="29" fillId="0" borderId="15" xfId="2" applyFont="1" applyBorder="1" applyAlignment="1">
      <alignment horizontal="center"/>
    </xf>
    <xf numFmtId="0" fontId="29" fillId="0" borderId="16" xfId="2" applyFont="1" applyBorder="1" applyAlignment="1">
      <alignment horizontal="center"/>
    </xf>
    <xf numFmtId="0" fontId="14" fillId="0" borderId="63" xfId="2" applyBorder="1" applyAlignment="1">
      <alignment horizontal="center" vertical="center"/>
    </xf>
    <xf numFmtId="0" fontId="14" fillId="0" borderId="35" xfId="2" applyBorder="1" applyAlignment="1">
      <alignment horizontal="center" vertical="center"/>
    </xf>
    <xf numFmtId="0" fontId="17" fillId="28" borderId="15" xfId="2" applyFont="1" applyFill="1" applyBorder="1" applyAlignment="1">
      <alignment horizontal="center" vertical="center" wrapText="1"/>
    </xf>
    <xf numFmtId="0" fontId="17" fillId="28" borderId="16" xfId="2" applyFont="1" applyFill="1" applyBorder="1" applyAlignment="1">
      <alignment horizontal="center" vertical="center" wrapText="1"/>
    </xf>
    <xf numFmtId="0" fontId="17" fillId="28" borderId="27" xfId="2" applyFont="1" applyFill="1" applyBorder="1" applyAlignment="1">
      <alignment horizontal="center" vertical="center" wrapText="1"/>
    </xf>
    <xf numFmtId="0" fontId="17" fillId="28" borderId="48" xfId="2" applyFont="1" applyFill="1" applyBorder="1" applyAlignment="1">
      <alignment horizontal="center" vertical="center" wrapText="1"/>
    </xf>
    <xf numFmtId="0" fontId="17" fillId="28" borderId="0" xfId="2" applyFont="1" applyFill="1" applyAlignment="1">
      <alignment horizontal="center" vertical="center" wrapText="1"/>
    </xf>
    <xf numFmtId="0" fontId="7" fillId="0" borderId="74" xfId="2" applyFont="1" applyBorder="1" applyAlignment="1">
      <alignment horizontal="center" vertical="center"/>
    </xf>
    <xf numFmtId="0" fontId="7" fillId="0" borderId="75" xfId="2" applyFont="1" applyBorder="1" applyAlignment="1">
      <alignment horizontal="center" vertical="center"/>
    </xf>
    <xf numFmtId="0" fontId="7" fillId="0" borderId="50" xfId="2" applyFont="1" applyBorder="1" applyAlignment="1">
      <alignment horizontal="center" vertical="center"/>
    </xf>
    <xf numFmtId="0" fontId="7" fillId="29" borderId="16" xfId="2" applyFont="1" applyFill="1" applyBorder="1" applyAlignment="1">
      <alignment horizontal="center" vertical="center"/>
    </xf>
    <xf numFmtId="0" fontId="7" fillId="29" borderId="27" xfId="2" applyFont="1" applyFill="1" applyBorder="1" applyAlignment="1">
      <alignment horizontal="center" vertical="center"/>
    </xf>
    <xf numFmtId="0" fontId="7" fillId="29" borderId="48" xfId="2" applyFont="1" applyFill="1" applyBorder="1" applyAlignment="1">
      <alignment horizontal="center" vertical="center"/>
    </xf>
    <xf numFmtId="0" fontId="7" fillId="29" borderId="24" xfId="2" applyFont="1" applyFill="1" applyBorder="1" applyAlignment="1">
      <alignment horizontal="center" vertical="center"/>
    </xf>
    <xf numFmtId="0" fontId="7" fillId="29" borderId="25" xfId="2" applyFont="1" applyFill="1" applyBorder="1" applyAlignment="1">
      <alignment horizontal="center" vertical="center"/>
    </xf>
    <xf numFmtId="0" fontId="16" fillId="0" borderId="15" xfId="2" applyFont="1" applyBorder="1" applyAlignment="1">
      <alignment horizontal="center"/>
    </xf>
    <xf numFmtId="0" fontId="17" fillId="0" borderId="16" xfId="2" applyFont="1" applyBorder="1"/>
    <xf numFmtId="0" fontId="17" fillId="0" borderId="18" xfId="2" applyFont="1" applyBorder="1"/>
    <xf numFmtId="0" fontId="17" fillId="0" borderId="19" xfId="2" applyFont="1" applyBorder="1"/>
    <xf numFmtId="0" fontId="7" fillId="0" borderId="53" xfId="2" applyFont="1" applyBorder="1" applyAlignment="1">
      <alignment horizontal="center" vertical="center" wrapText="1"/>
    </xf>
    <xf numFmtId="0" fontId="7" fillId="0" borderId="17" xfId="2" applyFont="1" applyBorder="1" applyAlignment="1">
      <alignment horizontal="center" vertical="center"/>
    </xf>
    <xf numFmtId="0" fontId="7" fillId="0" borderId="20" xfId="2" applyFont="1" applyBorder="1" applyAlignment="1">
      <alignment horizontal="center" vertical="center"/>
    </xf>
    <xf numFmtId="0" fontId="7" fillId="15" borderId="52" xfId="2" applyFont="1" applyFill="1" applyBorder="1" applyAlignment="1">
      <alignment horizontal="center" vertical="center"/>
    </xf>
    <xf numFmtId="0" fontId="7" fillId="15" borderId="16" xfId="2" applyFont="1" applyFill="1" applyBorder="1" applyAlignment="1">
      <alignment horizontal="center" vertical="center"/>
    </xf>
    <xf numFmtId="0" fontId="7" fillId="15" borderId="0" xfId="2" applyFont="1" applyFill="1" applyAlignment="1">
      <alignment horizontal="center" vertical="center"/>
    </xf>
    <xf numFmtId="0" fontId="7" fillId="15" borderId="48" xfId="2" applyFont="1" applyFill="1" applyBorder="1" applyAlignment="1">
      <alignment horizontal="center" vertical="center"/>
    </xf>
    <xf numFmtId="0" fontId="7" fillId="15" borderId="34" xfId="2" applyFont="1" applyFill="1" applyBorder="1" applyAlignment="1">
      <alignment horizontal="center" vertical="center"/>
    </xf>
    <xf numFmtId="0" fontId="7" fillId="15" borderId="25" xfId="2" applyFont="1" applyFill="1" applyBorder="1" applyAlignment="1">
      <alignment horizontal="center" vertical="center"/>
    </xf>
    <xf numFmtId="0" fontId="17" fillId="0" borderId="32" xfId="2" applyFont="1" applyBorder="1" applyAlignment="1">
      <alignment horizontal="center" vertical="center"/>
    </xf>
    <xf numFmtId="14" fontId="19" fillId="0" borderId="21" xfId="2" applyNumberFormat="1" applyFont="1" applyBorder="1" applyAlignment="1">
      <alignment horizontal="center"/>
    </xf>
    <xf numFmtId="0" fontId="17" fillId="0" borderId="22" xfId="2" applyFont="1" applyBorder="1"/>
    <xf numFmtId="0" fontId="17" fillId="0" borderId="25" xfId="2" applyFont="1" applyBorder="1"/>
    <xf numFmtId="0" fontId="20" fillId="27" borderId="27" xfId="2" applyFont="1" applyFill="1" applyBorder="1" applyAlignment="1">
      <alignment horizontal="center" vertical="center" wrapText="1"/>
    </xf>
    <xf numFmtId="0" fontId="17" fillId="27" borderId="28" xfId="2" applyFont="1" applyFill="1" applyBorder="1" applyAlignment="1">
      <alignment horizontal="center" vertical="center" wrapText="1"/>
    </xf>
    <xf numFmtId="0" fontId="17" fillId="27" borderId="27" xfId="2" applyFont="1" applyFill="1" applyBorder="1" applyAlignment="1">
      <alignment horizontal="center" vertical="center" wrapText="1"/>
    </xf>
    <xf numFmtId="0" fontId="7" fillId="0" borderId="39" xfId="2" applyFont="1" applyBorder="1" applyAlignment="1">
      <alignment horizontal="center"/>
    </xf>
    <xf numFmtId="0" fontId="7" fillId="0" borderId="0" xfId="2" applyFont="1" applyAlignment="1">
      <alignment horizontal="center"/>
    </xf>
    <xf numFmtId="0" fontId="7" fillId="0" borderId="45" xfId="2" applyFont="1" applyBorder="1" applyAlignment="1">
      <alignment horizontal="center"/>
    </xf>
    <xf numFmtId="0" fontId="17" fillId="0" borderId="46" xfId="2" applyFont="1" applyBorder="1"/>
    <xf numFmtId="0" fontId="7" fillId="0" borderId="15" xfId="2" applyFont="1" applyBorder="1" applyAlignment="1">
      <alignment horizontal="center" vertical="center" wrapText="1"/>
    </xf>
    <xf numFmtId="0" fontId="7" fillId="0" borderId="52" xfId="2" applyFont="1" applyBorder="1" applyAlignment="1">
      <alignment horizontal="center" vertical="center" wrapText="1"/>
    </xf>
    <xf numFmtId="0" fontId="7" fillId="0" borderId="16" xfId="2" applyFont="1" applyBorder="1" applyAlignment="1">
      <alignment horizontal="center" vertical="center" wrapText="1"/>
    </xf>
    <xf numFmtId="0" fontId="7" fillId="0" borderId="27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 wrapText="1"/>
    </xf>
    <xf numFmtId="0" fontId="7" fillId="0" borderId="48" xfId="2" applyFont="1" applyBorder="1" applyAlignment="1">
      <alignment horizontal="center" vertical="center" wrapText="1"/>
    </xf>
    <xf numFmtId="0" fontId="7" fillId="0" borderId="24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5" xfId="2" applyFont="1" applyBorder="1" applyAlignment="1">
      <alignment horizontal="center" vertical="center" wrapText="1"/>
    </xf>
    <xf numFmtId="0" fontId="7" fillId="0" borderId="58" xfId="2" applyFont="1" applyBorder="1" applyAlignment="1">
      <alignment horizontal="center" vertical="center"/>
    </xf>
    <xf numFmtId="0" fontId="7" fillId="0" borderId="60" xfId="2" applyFont="1" applyBorder="1" applyAlignment="1">
      <alignment horizontal="center" vertical="center"/>
    </xf>
    <xf numFmtId="0" fontId="7" fillId="15" borderId="27" xfId="2" applyFont="1" applyFill="1" applyBorder="1" applyAlignment="1">
      <alignment horizontal="center" vertical="center"/>
    </xf>
    <xf numFmtId="0" fontId="7" fillId="15" borderId="24" xfId="2" applyFont="1" applyFill="1" applyBorder="1" applyAlignment="1">
      <alignment horizontal="center" vertical="center"/>
    </xf>
    <xf numFmtId="0" fontId="14" fillId="0" borderId="77" xfId="2" applyBorder="1" applyAlignment="1">
      <alignment horizontal="center" vertical="center"/>
    </xf>
    <xf numFmtId="0" fontId="14" fillId="0" borderId="78" xfId="2" applyBorder="1" applyAlignment="1">
      <alignment horizontal="center" vertical="center"/>
    </xf>
    <xf numFmtId="0" fontId="14" fillId="0" borderId="79" xfId="2" applyBorder="1" applyAlignment="1">
      <alignment horizontal="center" vertical="center"/>
    </xf>
    <xf numFmtId="0" fontId="17" fillId="0" borderId="54" xfId="2" applyFont="1" applyBorder="1"/>
    <xf numFmtId="0" fontId="7" fillId="0" borderId="77" xfId="2" applyFont="1" applyBorder="1" applyAlignment="1">
      <alignment horizontal="center" vertical="center" wrapText="1"/>
    </xf>
    <xf numFmtId="0" fontId="17" fillId="0" borderId="78" xfId="2" applyFont="1" applyBorder="1"/>
    <xf numFmtId="0" fontId="17" fillId="0" borderId="51" xfId="2" applyFont="1" applyBorder="1" applyAlignment="1">
      <alignment wrapText="1"/>
    </xf>
    <xf numFmtId="0" fontId="17" fillId="0" borderId="53" xfId="2" applyFont="1" applyBorder="1" applyAlignment="1">
      <alignment wrapText="1"/>
    </xf>
    <xf numFmtId="0" fontId="17" fillId="44" borderId="54" xfId="2" applyFont="1" applyFill="1" applyBorder="1" applyAlignment="1">
      <alignment horizontal="center" vertical="center" wrapText="1"/>
    </xf>
    <xf numFmtId="0" fontId="17" fillId="44" borderId="53" xfId="2" applyFont="1" applyFill="1" applyBorder="1" applyAlignment="1">
      <alignment horizontal="center" vertical="center" wrapText="1"/>
    </xf>
    <xf numFmtId="0" fontId="7" fillId="0" borderId="55" xfId="2" applyFont="1" applyBorder="1" applyAlignment="1">
      <alignment horizontal="center" vertical="center"/>
    </xf>
    <xf numFmtId="0" fontId="17" fillId="0" borderId="47" xfId="2" applyFont="1" applyBorder="1"/>
    <xf numFmtId="0" fontId="17" fillId="0" borderId="59" xfId="2" applyFont="1" applyBorder="1"/>
    <xf numFmtId="0" fontId="7" fillId="29" borderId="52" xfId="2" applyFont="1" applyFill="1" applyBorder="1" applyAlignment="1">
      <alignment horizontal="center" vertical="center"/>
    </xf>
    <xf numFmtId="0" fontId="17" fillId="0" borderId="0" xfId="2" applyFont="1"/>
    <xf numFmtId="0" fontId="17" fillId="0" borderId="48" xfId="2" applyFont="1" applyBorder="1"/>
    <xf numFmtId="0" fontId="7" fillId="29" borderId="0" xfId="2" applyFont="1" applyFill="1" applyAlignment="1">
      <alignment horizontal="center" vertical="center"/>
    </xf>
    <xf numFmtId="0" fontId="7" fillId="29" borderId="34" xfId="2" applyFont="1" applyFill="1" applyBorder="1" applyAlignment="1">
      <alignment horizontal="center" vertical="center"/>
    </xf>
    <xf numFmtId="0" fontId="17" fillId="0" borderId="37" xfId="2" applyFont="1" applyBorder="1" applyAlignment="1">
      <alignment wrapText="1"/>
    </xf>
    <xf numFmtId="0" fontId="7" fillId="0" borderId="28" xfId="2" applyFont="1" applyBorder="1" applyAlignment="1">
      <alignment horizontal="center" vertical="center"/>
    </xf>
    <xf numFmtId="0" fontId="17" fillId="0" borderId="37" xfId="2" applyFont="1" applyBorder="1"/>
    <xf numFmtId="0" fontId="8" fillId="2" borderId="4" xfId="1" applyFont="1" applyFill="1" applyBorder="1" applyAlignment="1">
      <alignment horizontal="center" vertical="center" wrapText="1"/>
    </xf>
    <xf numFmtId="0" fontId="4" fillId="0" borderId="5" xfId="1" applyFont="1" applyBorder="1" applyAlignment="1">
      <alignment vertical="center" wrapText="1"/>
    </xf>
    <xf numFmtId="0" fontId="4" fillId="0" borderId="6" xfId="1" applyFont="1" applyBorder="1" applyAlignment="1">
      <alignment vertical="center" wrapText="1"/>
    </xf>
    <xf numFmtId="0" fontId="8" fillId="2" borderId="10" xfId="1" applyFont="1" applyFill="1" applyBorder="1" applyAlignment="1">
      <alignment horizontal="center" vertical="center" wrapText="1"/>
    </xf>
    <xf numFmtId="0" fontId="8" fillId="2" borderId="11" xfId="1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Обычный 2" xfId="1" xr:uid="{00000000-0005-0000-0000-000002000000}"/>
    <cellStyle name="Обычный 2 2" xfId="3" xr:uid="{00000000-0005-0000-0000-000003000000}"/>
  </cellStyles>
  <dxfs count="6">
    <dxf>
      <fill>
        <patternFill patternType="lightDown">
          <fgColor rgb="FFC8648C"/>
        </patternFill>
      </fill>
    </dxf>
    <dxf>
      <fill>
        <patternFill patternType="lightDown">
          <fgColor rgb="FFC8648C"/>
        </patternFill>
      </fill>
    </dxf>
    <dxf>
      <fill>
        <patternFill patternType="lightDown">
          <fgColor rgb="FFC8648C"/>
        </patternFill>
      </fill>
    </dxf>
    <dxf>
      <fill>
        <patternFill patternType="lightDown">
          <fgColor rgb="FFC8648C"/>
        </patternFill>
      </fill>
    </dxf>
    <dxf>
      <fill>
        <patternFill patternType="lightDown">
          <fgColor rgb="FFC8648C"/>
        </patternFill>
      </fill>
    </dxf>
    <dxf>
      <fill>
        <patternFill patternType="lightDown">
          <fgColor rgb="FFC8648C"/>
        </patternFill>
      </fill>
    </dxf>
  </dxfs>
  <tableStyles count="0" defaultTableStyle="TableStyleMedium9" defaultPivotStyle="PivotStyleLight16"/>
  <colors>
    <mruColors>
      <color rgb="FFFFF8D1"/>
      <color rgb="FF2869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480171</xdr:colOff>
      <xdr:row>1</xdr:row>
      <xdr:rowOff>99171</xdr:rowOff>
    </xdr:from>
    <xdr:to>
      <xdr:col>10</xdr:col>
      <xdr:colOff>597420</xdr:colOff>
      <xdr:row>6</xdr:row>
      <xdr:rowOff>64021</xdr:rowOff>
    </xdr:to>
    <xdr:pic macro="[0]!GenerateCuttingPlan">
      <xdr:nvPicPr>
        <xdr:cNvPr id="3" name="Picture 2">
          <a:extLst>
            <a:ext uri="{FF2B5EF4-FFF2-40B4-BE49-F238E27FC236}">
              <a16:creationId xmlns:a16="http://schemas.microsoft.com/office/drawing/2014/main" id="{A0961384-1A7B-A667-49B4-69180161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9347" y="558612"/>
          <a:ext cx="912867" cy="91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489695</xdr:colOff>
      <xdr:row>1</xdr:row>
      <xdr:rowOff>97739</xdr:rowOff>
    </xdr:from>
    <xdr:to>
      <xdr:col>10</xdr:col>
      <xdr:colOff>1423144</xdr:colOff>
      <xdr:row>6</xdr:row>
      <xdr:rowOff>89645</xdr:rowOff>
    </xdr:to>
    <xdr:pic macro="[0]!CuttingPlanSheets2D">
      <xdr:nvPicPr>
        <xdr:cNvPr id="5" name="Picture 4">
          <a:extLst>
            <a:ext uri="{FF2B5EF4-FFF2-40B4-BE49-F238E27FC236}">
              <a16:creationId xmlns:a16="http://schemas.microsoft.com/office/drawing/2014/main" id="{615AA110-AFCA-A75D-9E81-EADDF94FB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4489" y="557180"/>
          <a:ext cx="933449" cy="944406"/>
        </a:xfrm>
        <a:prstGeom prst="rect">
          <a:avLst/>
        </a:prstGeom>
      </xdr:spPr>
    </xdr:pic>
    <xdr:clientData/>
  </xdr:twoCellAnchor>
  <xdr:twoCellAnchor editAs="oneCell">
    <xdr:from>
      <xdr:col>10</xdr:col>
      <xdr:colOff>1385045</xdr:colOff>
      <xdr:row>1</xdr:row>
      <xdr:rowOff>148478</xdr:rowOff>
    </xdr:from>
    <xdr:to>
      <xdr:col>10</xdr:col>
      <xdr:colOff>2233889</xdr:colOff>
      <xdr:row>6</xdr:row>
      <xdr:rowOff>44822</xdr:rowOff>
    </xdr:to>
    <xdr:pic macro="[0]!CreateCalculationSheet">
      <xdr:nvPicPr>
        <xdr:cNvPr id="7" name="Picture 6">
          <a:extLst>
            <a:ext uri="{FF2B5EF4-FFF2-40B4-BE49-F238E27FC236}">
              <a16:creationId xmlns:a16="http://schemas.microsoft.com/office/drawing/2014/main" id="{EA60725C-D033-56B3-0B22-B8768DC43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9839" y="607919"/>
          <a:ext cx="848844" cy="848844"/>
        </a:xfrm>
        <a:prstGeom prst="rect">
          <a:avLst/>
        </a:prstGeom>
      </xdr:spPr>
    </xdr:pic>
    <xdr:clientData/>
  </xdr:twoCellAnchor>
  <xdr:twoCellAnchor editAs="oneCell">
    <xdr:from>
      <xdr:col>10</xdr:col>
      <xdr:colOff>2229967</xdr:colOff>
      <xdr:row>1</xdr:row>
      <xdr:rowOff>134469</xdr:rowOff>
    </xdr:from>
    <xdr:to>
      <xdr:col>11</xdr:col>
      <xdr:colOff>264454</xdr:colOff>
      <xdr:row>6</xdr:row>
      <xdr:rowOff>40338</xdr:rowOff>
    </xdr:to>
    <xdr:pic macro="[0]!GeneratePaintingShippingReport_Full">
      <xdr:nvPicPr>
        <xdr:cNvPr id="9" name="Picture 8">
          <a:extLst>
            <a:ext uri="{FF2B5EF4-FFF2-40B4-BE49-F238E27FC236}">
              <a16:creationId xmlns:a16="http://schemas.microsoft.com/office/drawing/2014/main" id="{7A52C16F-7735-4C35-4BB2-6DBFD8CA6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4761" y="593910"/>
          <a:ext cx="858369" cy="8583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6</xdr:row>
          <xdr:rowOff>9525</xdr:rowOff>
        </xdr:from>
        <xdr:to>
          <xdr:col>10</xdr:col>
          <xdr:colOff>533400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Раскрой доски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6</xdr:row>
          <xdr:rowOff>9525</xdr:rowOff>
        </xdr:from>
        <xdr:to>
          <xdr:col>10</xdr:col>
          <xdr:colOff>1390650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Раскрой панелей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1400175</xdr:colOff>
          <xdr:row>6</xdr:row>
          <xdr:rowOff>9525</xdr:rowOff>
        </xdr:from>
        <xdr:to>
          <xdr:col>10</xdr:col>
          <xdr:colOff>2238375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Расчётный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6</xdr:row>
          <xdr:rowOff>9525</xdr:rowOff>
        </xdr:from>
        <xdr:to>
          <xdr:col>11</xdr:col>
          <xdr:colOff>266700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Покраска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6</xdr:row>
          <xdr:rowOff>9525</xdr:rowOff>
        </xdr:from>
        <xdr:to>
          <xdr:col>11</xdr:col>
          <xdr:colOff>1638300</xdr:colOff>
          <xdr:row>8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Заполнение кол-ва пиломатериалов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6</xdr:row>
          <xdr:rowOff>114300</xdr:rowOff>
        </xdr:from>
        <xdr:to>
          <xdr:col>17</xdr:col>
          <xdr:colOff>266700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 6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gineer\Desktop\&#1055;&#1088;&#1080;&#1084;&#1077;&#1088;%20&#1050;&#1050;%20&#1055;&#1072;&#1085;&#1077;&#1083;&#1080;%20+%20&#1050;&#1050;%20&#8470;275-24&#1057;&#1042;%20&#1052;&#1086;&#1088;&#1086;&#1079;%20&#1040;&#1042;.xlsm" TargetMode="External"/><Relationship Id="rId1" Type="http://schemas.openxmlformats.org/officeDocument/2006/relationships/externalLinkPath" Target="&#1055;&#1088;&#1080;&#1084;&#1077;&#1088;%20&#1050;&#1050;%20&#1055;&#1072;&#1085;&#1077;&#1083;&#1080;%20+%20&#1050;&#1050;%20&#8470;275-24&#1057;&#1042;%20&#1052;&#1086;&#1088;&#1086;&#1079;%20&#1040;&#104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Рассчетный лист"/>
      <sheetName val="Материалы для заказа"/>
      <sheetName val="Зп на производство"/>
      <sheetName val="Для документа подсчет"/>
      <sheetName val="Панели (все)"/>
      <sheetName val="КК остальное"/>
      <sheetName val="Краска"/>
      <sheetName val="Проёмы"/>
      <sheetName val="Утеплитель"/>
      <sheetName val="Масса метизов"/>
      <sheetName val="{Расчет}"/>
      <sheetName val="Расчет"/>
      <sheetName val="Все материалы"/>
      <sheetName val="1 машина"/>
      <sheetName val="2 машина"/>
      <sheetName val="Доставка"/>
    </sheetNames>
    <sheetDataSet>
      <sheetData sheetId="0">
        <row r="3">
          <cell r="F3">
            <v>317</v>
          </cell>
          <cell r="AC3">
            <v>0</v>
          </cell>
        </row>
        <row r="11">
          <cell r="Q11">
            <v>112</v>
          </cell>
          <cell r="U11">
            <v>0</v>
          </cell>
        </row>
        <row r="25">
          <cell r="K25">
            <v>3.86</v>
          </cell>
        </row>
        <row r="31">
          <cell r="F31">
            <v>14.649150000000001</v>
          </cell>
        </row>
        <row r="67">
          <cell r="Q67">
            <v>0.35625000000000001</v>
          </cell>
        </row>
      </sheetData>
      <sheetData sheetId="1">
        <row r="3">
          <cell r="C3" t="str">
            <v>№275-24СВ Мороз АВ</v>
          </cell>
        </row>
      </sheetData>
      <sheetData sheetId="2"/>
      <sheetData sheetId="3"/>
      <sheetData sheetId="4"/>
      <sheetData sheetId="5"/>
      <sheetData sheetId="6">
        <row r="17">
          <cell r="E17">
            <v>11.941649999999999</v>
          </cell>
          <cell r="N17">
            <v>1.1941649999999999</v>
          </cell>
        </row>
        <row r="20">
          <cell r="E20">
            <v>0.97960000000000003</v>
          </cell>
          <cell r="N20">
            <v>9.7960000000000005E-2</v>
          </cell>
        </row>
        <row r="25">
          <cell r="E25">
            <v>4.4081999999999999</v>
          </cell>
          <cell r="N25">
            <v>0.44081999999999999</v>
          </cell>
        </row>
        <row r="29">
          <cell r="E29">
            <v>0</v>
          </cell>
          <cell r="N29">
            <v>0</v>
          </cell>
        </row>
      </sheetData>
      <sheetData sheetId="7">
        <row r="20">
          <cell r="C20">
            <v>187.04400000000004</v>
          </cell>
        </row>
        <row r="23">
          <cell r="C23">
            <v>14</v>
          </cell>
        </row>
        <row r="24">
          <cell r="C24">
            <v>13</v>
          </cell>
        </row>
        <row r="25">
          <cell r="C25">
            <v>1</v>
          </cell>
        </row>
        <row r="27">
          <cell r="C27">
            <v>130</v>
          </cell>
        </row>
        <row r="28">
          <cell r="C28">
            <v>10</v>
          </cell>
        </row>
        <row r="29">
          <cell r="C29">
            <v>86.6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1" tint="0.34998626667073579"/>
  </sheetPr>
  <dimension ref="A1:O11"/>
  <sheetViews>
    <sheetView tabSelected="1" workbookViewId="0">
      <selection sqref="A1:B1"/>
    </sheetView>
  </sheetViews>
  <sheetFormatPr defaultRowHeight="15" x14ac:dyDescent="0.25"/>
  <cols>
    <col min="1" max="1" width="8.7109375" customWidth="1"/>
    <col min="2" max="2" width="12.7109375" customWidth="1"/>
    <col min="3" max="3" width="43.85546875" customWidth="1"/>
    <col min="4" max="4" width="13" customWidth="1"/>
    <col min="5" max="5" width="11" style="1" customWidth="1"/>
    <col min="6" max="6" width="9.5703125" customWidth="1"/>
    <col min="7" max="7" width="12" style="2" customWidth="1"/>
    <col min="8" max="8" width="13.85546875" style="2" customWidth="1"/>
    <col min="9" max="10" width="12" style="2" customWidth="1"/>
    <col min="11" max="11" width="42.42578125" customWidth="1"/>
    <col min="12" max="12" width="24.7109375" customWidth="1"/>
  </cols>
  <sheetData>
    <row r="1" spans="1:15" s="37" customFormat="1" ht="36" customHeight="1" x14ac:dyDescent="0.25">
      <c r="A1" s="459"/>
      <c r="B1" s="459"/>
      <c r="C1" s="39" t="s">
        <v>12</v>
      </c>
      <c r="D1" s="39"/>
      <c r="E1" s="39"/>
      <c r="F1" s="39"/>
      <c r="G1" s="39"/>
      <c r="H1" s="39"/>
      <c r="I1" s="39"/>
      <c r="J1" s="39"/>
      <c r="K1" s="39"/>
      <c r="L1" s="39"/>
    </row>
    <row r="2" spans="1:15" x14ac:dyDescent="0.25">
      <c r="A2" s="463" t="s">
        <v>11</v>
      </c>
      <c r="B2" s="464"/>
      <c r="C2" s="460"/>
      <c r="D2" s="461"/>
      <c r="E2" s="461"/>
      <c r="F2" s="461"/>
      <c r="G2" s="461"/>
      <c r="H2" s="461"/>
      <c r="I2" s="462"/>
      <c r="J2" s="12"/>
    </row>
    <row r="3" spans="1:15" x14ac:dyDescent="0.25">
      <c r="A3" s="463" t="s">
        <v>0</v>
      </c>
      <c r="B3" s="464"/>
      <c r="C3" s="460"/>
      <c r="D3" s="461"/>
      <c r="E3" s="461"/>
      <c r="F3" s="461"/>
      <c r="G3" s="461"/>
      <c r="H3" s="461"/>
      <c r="I3" s="462"/>
      <c r="J3" s="12"/>
      <c r="L3" s="11"/>
      <c r="M3" s="11"/>
      <c r="N3" s="11"/>
      <c r="O3" s="11"/>
    </row>
    <row r="4" spans="1:15" x14ac:dyDescent="0.25">
      <c r="A4" s="463" t="s">
        <v>10</v>
      </c>
      <c r="B4" s="464"/>
      <c r="C4" s="460"/>
      <c r="D4" s="461"/>
      <c r="E4" s="461"/>
      <c r="F4" s="461"/>
      <c r="G4" s="461"/>
      <c r="H4" s="461"/>
      <c r="I4" s="462"/>
      <c r="J4" s="12"/>
      <c r="L4" s="11"/>
      <c r="M4" s="11"/>
      <c r="N4" s="11"/>
      <c r="O4" s="11"/>
    </row>
    <row r="5" spans="1:15" x14ac:dyDescent="0.25">
      <c r="A5" s="463" t="s">
        <v>13</v>
      </c>
      <c r="B5" s="464"/>
      <c r="C5" s="460"/>
      <c r="D5" s="461"/>
      <c r="E5" s="461"/>
      <c r="F5" s="461"/>
      <c r="G5" s="461"/>
      <c r="H5" s="461"/>
      <c r="I5" s="462"/>
      <c r="J5" s="12"/>
    </row>
    <row r="9" spans="1:15" s="5" customFormat="1" x14ac:dyDescent="0.25">
      <c r="E9" s="1"/>
      <c r="G9" s="2"/>
      <c r="H9" s="2"/>
      <c r="I9" s="2"/>
      <c r="J9" s="2"/>
    </row>
    <row r="10" spans="1:15" x14ac:dyDescent="0.25">
      <c r="A10" s="9"/>
      <c r="B10" s="9"/>
      <c r="C10" s="9"/>
      <c r="D10" s="9"/>
      <c r="E10" s="10"/>
      <c r="F10" s="9"/>
      <c r="G10" s="8"/>
      <c r="H10" s="8"/>
      <c r="I10" s="8"/>
      <c r="J10" s="8"/>
      <c r="K10" s="9"/>
    </row>
    <row r="11" spans="1:15" s="6" customFormat="1" ht="36" customHeight="1" x14ac:dyDescent="0.25">
      <c r="A11" s="35" t="s">
        <v>105</v>
      </c>
      <c r="B11" s="36" t="s">
        <v>9</v>
      </c>
      <c r="C11" s="36" t="s">
        <v>6</v>
      </c>
      <c r="D11" s="36" t="s">
        <v>1</v>
      </c>
      <c r="E11" s="36" t="s">
        <v>2</v>
      </c>
      <c r="F11" s="36" t="s">
        <v>3</v>
      </c>
      <c r="G11" s="36" t="s">
        <v>4</v>
      </c>
      <c r="H11" s="35" t="s">
        <v>7</v>
      </c>
      <c r="I11" s="35" t="s">
        <v>8</v>
      </c>
      <c r="J11" s="35" t="s">
        <v>76</v>
      </c>
      <c r="K11" s="36" t="s">
        <v>5</v>
      </c>
      <c r="L11" s="36" t="s">
        <v>76</v>
      </c>
    </row>
  </sheetData>
  <autoFilter ref="A11:L11" xr:uid="{00000000-0009-0000-0000-000000000000}"/>
  <sortState xmlns:xlrd2="http://schemas.microsoft.com/office/spreadsheetml/2017/richdata2" ref="A12:K1044">
    <sortCondition ref="A12:A1044"/>
  </sortState>
  <mergeCells count="9">
    <mergeCell ref="A1:B1"/>
    <mergeCell ref="C4:I4"/>
    <mergeCell ref="C5:I5"/>
    <mergeCell ref="C2:I2"/>
    <mergeCell ref="C3:I3"/>
    <mergeCell ref="A2:B2"/>
    <mergeCell ref="A3:B3"/>
    <mergeCell ref="A5:B5"/>
    <mergeCell ref="A4:B4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ttingPlanSheets2D">
                <anchor moveWithCells="1">
                  <from>
                    <xdr:col>10</xdr:col>
                    <xdr:colOff>542925</xdr:colOff>
                    <xdr:row>6</xdr:row>
                    <xdr:rowOff>9525</xdr:rowOff>
                  </from>
                  <to>
                    <xdr:col>10</xdr:col>
                    <xdr:colOff>1390650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CuttingPlan">
                <anchor moveWithCells="1">
                  <from>
                    <xdr:col>9</xdr:col>
                    <xdr:colOff>504825</xdr:colOff>
                    <xdr:row>6</xdr:row>
                    <xdr:rowOff>9525</xdr:rowOff>
                  </from>
                  <to>
                    <xdr:col>10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CalculationSheet">
                <anchor moveWithCells="1">
                  <from>
                    <xdr:col>10</xdr:col>
                    <xdr:colOff>1400175</xdr:colOff>
                    <xdr:row>6</xdr:row>
                    <xdr:rowOff>9525</xdr:rowOff>
                  </from>
                  <to>
                    <xdr:col>10</xdr:col>
                    <xdr:colOff>2238375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atePaintingShippingReport_Full">
                <anchor moveWithCells="1">
                  <from>
                    <xdr:col>10</xdr:col>
                    <xdr:colOff>2247900</xdr:colOff>
                    <xdr:row>6</xdr:row>
                    <xdr:rowOff>9525</xdr:rowOff>
                  </from>
                  <to>
                    <xdr:col>11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opyWoodQuantity">
                <anchor moveWithCells="1">
                  <from>
                    <xdr:col>11</xdr:col>
                    <xdr:colOff>276225</xdr:colOff>
                    <xdr:row>6</xdr:row>
                    <xdr:rowOff>9525</xdr:rowOff>
                  </from>
                  <to>
                    <xdr:col>11</xdr:col>
                    <xdr:colOff>1638300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WriteReferenceFormulas">
                <anchor moveWithCells="1">
                  <from>
                    <xdr:col>15</xdr:col>
                    <xdr:colOff>19050</xdr:colOff>
                    <xdr:row>6</xdr:row>
                    <xdr:rowOff>114300</xdr:rowOff>
                  </from>
                  <to>
                    <xdr:col>17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21CA4-19DB-4523-8E27-DDF1BD06C92C}">
  <sheetPr codeName="Sheet3">
    <tabColor theme="8" tint="-0.49995422223578601"/>
  </sheetPr>
  <dimension ref="A1:K11"/>
  <sheetViews>
    <sheetView workbookViewId="0">
      <selection sqref="A1:B1"/>
    </sheetView>
  </sheetViews>
  <sheetFormatPr defaultRowHeight="15" x14ac:dyDescent="0.25"/>
  <cols>
    <col min="1" max="1" width="8.7109375" style="38" customWidth="1"/>
    <col min="2" max="2" width="12.7109375" customWidth="1"/>
    <col min="3" max="3" width="40.7109375" customWidth="1"/>
    <col min="4" max="10" width="10" style="38" customWidth="1"/>
    <col min="11" max="11" width="10" customWidth="1"/>
  </cols>
  <sheetData>
    <row r="1" spans="1:11" ht="36" customHeight="1" x14ac:dyDescent="0.25">
      <c r="A1" s="465"/>
      <c r="B1" s="465"/>
      <c r="C1" s="466" t="s">
        <v>182</v>
      </c>
      <c r="D1" s="466"/>
      <c r="E1" s="466"/>
      <c r="F1" s="466"/>
      <c r="G1" s="466"/>
      <c r="H1" s="466"/>
      <c r="I1" s="466"/>
      <c r="J1" s="466"/>
      <c r="K1" s="466"/>
    </row>
    <row r="2" spans="1:11" ht="1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11" ht="15" customHeigh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</row>
    <row r="4" spans="1:11" x14ac:dyDescent="0.25">
      <c r="A4"/>
      <c r="D4"/>
      <c r="E4"/>
      <c r="F4"/>
      <c r="G4"/>
      <c r="H4"/>
      <c r="I4"/>
      <c r="J4"/>
    </row>
    <row r="5" spans="1:11" x14ac:dyDescent="0.25">
      <c r="A5"/>
      <c r="D5"/>
      <c r="E5"/>
      <c r="F5"/>
      <c r="G5"/>
      <c r="H5"/>
      <c r="I5"/>
      <c r="J5"/>
    </row>
    <row r="6" spans="1:11" x14ac:dyDescent="0.25">
      <c r="A6"/>
      <c r="D6"/>
      <c r="E6"/>
      <c r="F6"/>
      <c r="G6"/>
      <c r="H6"/>
      <c r="I6"/>
      <c r="J6"/>
    </row>
    <row r="7" spans="1:11" x14ac:dyDescent="0.25">
      <c r="A7"/>
      <c r="D7"/>
      <c r="E7"/>
      <c r="F7"/>
      <c r="G7"/>
      <c r="H7"/>
      <c r="I7"/>
      <c r="J7"/>
    </row>
    <row r="8" spans="1:11" x14ac:dyDescent="0.25">
      <c r="A8"/>
      <c r="D8"/>
      <c r="E8"/>
      <c r="F8"/>
      <c r="G8"/>
      <c r="H8"/>
      <c r="I8"/>
      <c r="J8"/>
    </row>
    <row r="9" spans="1:11" x14ac:dyDescent="0.25">
      <c r="A9"/>
      <c r="D9"/>
      <c r="E9"/>
      <c r="F9"/>
      <c r="G9"/>
      <c r="H9"/>
      <c r="I9"/>
      <c r="J9"/>
    </row>
    <row r="10" spans="1:11" x14ac:dyDescent="0.25">
      <c r="A10"/>
      <c r="D10"/>
      <c r="E10"/>
      <c r="F10"/>
      <c r="G10"/>
      <c r="H10"/>
      <c r="I10"/>
      <c r="J10"/>
    </row>
    <row r="11" spans="1:11" ht="36" customHeight="1" x14ac:dyDescent="0.25">
      <c r="A11" s="458" t="s">
        <v>105</v>
      </c>
      <c r="B11" s="458" t="s">
        <v>9</v>
      </c>
      <c r="C11" s="458" t="s">
        <v>6</v>
      </c>
      <c r="D11" s="458" t="s">
        <v>183</v>
      </c>
      <c r="E11" s="458" t="s">
        <v>184</v>
      </c>
      <c r="F11" s="458" t="s">
        <v>185</v>
      </c>
      <c r="G11" s="458" t="s">
        <v>187</v>
      </c>
      <c r="H11" s="458" t="s">
        <v>186</v>
      </c>
      <c r="I11" s="458" t="s">
        <v>188</v>
      </c>
      <c r="J11" s="458" t="s">
        <v>189</v>
      </c>
      <c r="K11" s="458"/>
    </row>
  </sheetData>
  <mergeCells count="2">
    <mergeCell ref="A1:B1"/>
    <mergeCell ref="C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7CF60-E683-4FB4-A7DF-AA74FEFDFDC7}">
  <sheetPr codeName="Sheet21">
    <tabColor rgb="FFFFF8D1"/>
  </sheetPr>
  <dimension ref="B1:U13"/>
  <sheetViews>
    <sheetView workbookViewId="0"/>
  </sheetViews>
  <sheetFormatPr defaultRowHeight="15" x14ac:dyDescent="0.25"/>
  <cols>
    <col min="1" max="1" width="4.7109375" style="231" customWidth="1"/>
    <col min="2" max="2" width="15.7109375" style="231" customWidth="1"/>
    <col min="3" max="3" width="10.7109375" style="231" customWidth="1"/>
    <col min="4" max="4" width="12.7109375" style="231" customWidth="1"/>
    <col min="5" max="14" width="8.7109375" style="231" customWidth="1"/>
    <col min="15" max="20" width="10.7109375" style="231" customWidth="1"/>
    <col min="21" max="21" width="43" style="231" customWidth="1"/>
    <col min="22" max="16384" width="9.140625" style="231"/>
  </cols>
  <sheetData>
    <row r="1" spans="2:21" s="217" customFormat="1" x14ac:dyDescent="0.25"/>
    <row r="2" spans="2:21" s="217" customFormat="1" x14ac:dyDescent="0.25"/>
    <row r="3" spans="2:21" s="217" customFormat="1" ht="30" customHeight="1" x14ac:dyDescent="0.25">
      <c r="B3" s="467" t="s">
        <v>1123</v>
      </c>
      <c r="C3" s="467" t="s">
        <v>1124</v>
      </c>
      <c r="D3" s="467" t="s">
        <v>1125</v>
      </c>
      <c r="E3" s="471" t="s">
        <v>1126</v>
      </c>
      <c r="F3" s="471"/>
      <c r="G3" s="471" t="s">
        <v>1127</v>
      </c>
      <c r="H3" s="471"/>
      <c r="I3" s="472" t="s">
        <v>1128</v>
      </c>
      <c r="J3" s="472"/>
      <c r="K3" s="472"/>
      <c r="L3" s="469" t="s">
        <v>1129</v>
      </c>
      <c r="M3" s="469"/>
      <c r="N3" s="469"/>
      <c r="O3" s="467" t="s">
        <v>1130</v>
      </c>
      <c r="P3" s="467" t="s">
        <v>1131</v>
      </c>
      <c r="Q3" s="467" t="s">
        <v>1132</v>
      </c>
      <c r="R3" s="467" t="s">
        <v>1133</v>
      </c>
      <c r="S3" s="467" t="s">
        <v>1134</v>
      </c>
      <c r="T3" s="501" t="s">
        <v>1135</v>
      </c>
      <c r="U3" s="503" t="s">
        <v>1136</v>
      </c>
    </row>
    <row r="4" spans="2:21" s="217" customFormat="1" ht="15" customHeight="1" x14ac:dyDescent="0.25">
      <c r="B4" s="467"/>
      <c r="C4" s="467"/>
      <c r="D4" s="467"/>
      <c r="E4" s="230" t="s">
        <v>1137</v>
      </c>
      <c r="F4" s="471" t="s">
        <v>201</v>
      </c>
      <c r="G4" s="471" t="s">
        <v>1125</v>
      </c>
      <c r="H4" s="471" t="s">
        <v>201</v>
      </c>
      <c r="I4" s="472" t="s">
        <v>1138</v>
      </c>
      <c r="J4" s="472" t="s">
        <v>1139</v>
      </c>
      <c r="K4" s="472" t="s">
        <v>1140</v>
      </c>
      <c r="L4" s="469" t="s">
        <v>1141</v>
      </c>
      <c r="M4" s="469" t="s">
        <v>1142</v>
      </c>
      <c r="N4" s="469" t="s">
        <v>1143</v>
      </c>
      <c r="O4" s="467"/>
      <c r="P4" s="467"/>
      <c r="Q4" s="467"/>
      <c r="R4" s="467"/>
      <c r="S4" s="467"/>
      <c r="T4" s="501"/>
      <c r="U4" s="503"/>
    </row>
    <row r="5" spans="2:21" s="217" customFormat="1" ht="15" customHeight="1" thickBot="1" x14ac:dyDescent="0.3">
      <c r="B5" s="468"/>
      <c r="C5" s="468"/>
      <c r="D5" s="468"/>
      <c r="E5" s="229">
        <v>2</v>
      </c>
      <c r="F5" s="468"/>
      <c r="G5" s="468"/>
      <c r="H5" s="468"/>
      <c r="I5" s="505"/>
      <c r="J5" s="505"/>
      <c r="K5" s="505"/>
      <c r="L5" s="470"/>
      <c r="M5" s="470"/>
      <c r="N5" s="470"/>
      <c r="O5" s="468"/>
      <c r="P5" s="468"/>
      <c r="Q5" s="468"/>
      <c r="R5" s="468"/>
      <c r="S5" s="468"/>
      <c r="T5" s="502"/>
      <c r="U5" s="504"/>
    </row>
    <row r="6" spans="2:21" x14ac:dyDescent="0.25">
      <c r="B6" s="487" t="s">
        <v>1144</v>
      </c>
      <c r="C6" s="488"/>
      <c r="D6" s="489"/>
      <c r="E6" s="490"/>
      <c r="F6" s="491"/>
      <c r="G6" s="491"/>
      <c r="H6" s="492"/>
      <c r="I6" s="493"/>
      <c r="J6" s="494"/>
      <c r="K6" s="495"/>
      <c r="L6" s="496"/>
      <c r="M6" s="497"/>
      <c r="N6" s="498"/>
      <c r="O6" s="487"/>
      <c r="P6" s="488"/>
      <c r="Q6" s="488"/>
      <c r="R6" s="488"/>
      <c r="S6" s="489"/>
      <c r="T6" s="499"/>
      <c r="U6" s="500"/>
    </row>
    <row r="7" spans="2:21" customFormat="1" x14ac:dyDescent="0.25">
      <c r="B7" s="254"/>
      <c r="C7" s="263"/>
      <c r="D7" s="256"/>
      <c r="E7" s="249"/>
      <c r="F7" s="232"/>
      <c r="G7" s="232"/>
      <c r="H7" s="242"/>
      <c r="I7" s="250"/>
      <c r="J7" s="244"/>
      <c r="K7" s="234"/>
      <c r="L7" s="252"/>
      <c r="M7" s="236"/>
      <c r="N7" s="238"/>
      <c r="O7" s="254"/>
      <c r="P7" s="263"/>
      <c r="Q7" s="263"/>
      <c r="R7" s="263"/>
      <c r="S7" s="256"/>
      <c r="T7" s="253"/>
      <c r="U7" s="240"/>
    </row>
    <row r="8" spans="2:21" x14ac:dyDescent="0.25">
      <c r="B8" s="473"/>
      <c r="C8" s="474"/>
      <c r="D8" s="475"/>
      <c r="E8" s="476"/>
      <c r="F8" s="477"/>
      <c r="G8" s="477"/>
      <c r="H8" s="478"/>
      <c r="I8" s="479"/>
      <c r="J8" s="480"/>
      <c r="K8" s="481"/>
      <c r="L8" s="482"/>
      <c r="M8" s="483"/>
      <c r="N8" s="484"/>
      <c r="O8" s="473"/>
      <c r="P8" s="474"/>
      <c r="Q8" s="474"/>
      <c r="R8" s="474"/>
      <c r="S8" s="475"/>
      <c r="T8" s="485"/>
      <c r="U8" s="486"/>
    </row>
    <row r="9" spans="2:21" customFormat="1" ht="15.75" thickBot="1" x14ac:dyDescent="0.3">
      <c r="B9" s="257"/>
      <c r="C9" s="258"/>
      <c r="D9" s="259"/>
      <c r="E9" s="246"/>
      <c r="F9" s="233"/>
      <c r="G9" s="233"/>
      <c r="H9" s="243"/>
      <c r="I9" s="251"/>
      <c r="J9" s="245"/>
      <c r="K9" s="235"/>
      <c r="L9" s="247"/>
      <c r="M9" s="237"/>
      <c r="N9" s="239"/>
      <c r="O9" s="257"/>
      <c r="P9" s="258"/>
      <c r="Q9" s="258"/>
      <c r="R9" s="258"/>
      <c r="S9" s="259"/>
      <c r="T9" s="248"/>
      <c r="U9" s="241"/>
    </row>
    <row r="10" spans="2:21" customFormat="1" x14ac:dyDescent="0.25"/>
    <row r="11" spans="2:21" customFormat="1" x14ac:dyDescent="0.25"/>
    <row r="12" spans="2:21" customFormat="1" x14ac:dyDescent="0.25"/>
    <row r="13" spans="2:21" x14ac:dyDescent="0.25">
      <c r="B13" s="443" t="s">
        <v>1194</v>
      </c>
      <c r="C13" s="444"/>
      <c r="D13" s="444"/>
      <c r="E13" s="444"/>
      <c r="F13" s="444"/>
      <c r="G13" s="444"/>
      <c r="H13" s="444"/>
      <c r="I13" s="444"/>
      <c r="J13" s="444"/>
    </row>
  </sheetData>
  <mergeCells count="25">
    <mergeCell ref="B8:U8"/>
    <mergeCell ref="B6:U6"/>
    <mergeCell ref="T3:T5"/>
    <mergeCell ref="U3:U5"/>
    <mergeCell ref="F4:F5"/>
    <mergeCell ref="G4:G5"/>
    <mergeCell ref="H4:H5"/>
    <mergeCell ref="I4:I5"/>
    <mergeCell ref="J4:J5"/>
    <mergeCell ref="K4:K5"/>
    <mergeCell ref="L4:L5"/>
    <mergeCell ref="M4:M5"/>
    <mergeCell ref="L3:N3"/>
    <mergeCell ref="O3:O5"/>
    <mergeCell ref="P3:P5"/>
    <mergeCell ref="Q3:Q5"/>
    <mergeCell ref="R3:R5"/>
    <mergeCell ref="S3:S5"/>
    <mergeCell ref="N4:N5"/>
    <mergeCell ref="B3:B5"/>
    <mergeCell ref="C3:C5"/>
    <mergeCell ref="D3:D5"/>
    <mergeCell ref="E3:F3"/>
    <mergeCell ref="G3:H3"/>
    <mergeCell ref="I3:K3"/>
  </mergeCells>
  <conditionalFormatting sqref="D6">
    <cfRule type="expression" dxfId="5" priority="27" stopIfTrue="1">
      <formula>D6=""</formula>
    </cfRule>
  </conditionalFormatting>
  <conditionalFormatting sqref="D7">
    <cfRule type="expression" dxfId="4" priority="28" stopIfTrue="1">
      <formula>D7=""</formula>
    </cfRule>
  </conditionalFormatting>
  <conditionalFormatting sqref="D8">
    <cfRule type="expression" dxfId="3" priority="29" stopIfTrue="1">
      <formula>D8=""</formula>
    </cfRule>
  </conditionalFormatting>
  <conditionalFormatting sqref="D9">
    <cfRule type="expression" dxfId="0" priority="32" stopIfTrue="1">
      <formula>D9=""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A6B1F7-DA88-450B-BDE2-4DF43DD62C41}">
          <x14:formula1>
            <xm:f>Параметры!$AX$2:$AX$4</xm:f>
          </x14:formula1>
          <xm:sqref>D6:D10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945B-2C7D-44CB-8EA0-FACE9F152C3F}">
  <sheetPr codeName="Лист7">
    <tabColor theme="1" tint="4.992828150273141E-2"/>
    <pageSetUpPr fitToPage="1"/>
  </sheetPr>
  <dimension ref="A1:U986"/>
  <sheetViews>
    <sheetView zoomScale="85" zoomScaleNormal="85" workbookViewId="0">
      <selection activeCell="D49" sqref="D49"/>
    </sheetView>
  </sheetViews>
  <sheetFormatPr defaultColWidth="14.42578125" defaultRowHeight="15" customHeight="1" x14ac:dyDescent="0.2"/>
  <cols>
    <col min="1" max="1" width="44.42578125" style="218" customWidth="1"/>
    <col min="2" max="2" width="26.28515625" style="218" customWidth="1"/>
    <col min="3" max="3" width="53" style="218" bestFit="1" customWidth="1"/>
    <col min="4" max="4" width="12" style="218" bestFit="1" customWidth="1"/>
    <col min="5" max="5" width="9.5703125" style="218" bestFit="1" customWidth="1"/>
    <col min="6" max="6" width="10.28515625" style="218" bestFit="1" customWidth="1"/>
    <col min="7" max="7" width="45.42578125" style="218" customWidth="1"/>
    <col min="8" max="21" width="8.7109375" style="218" bestFit="1" customWidth="1"/>
    <col min="22" max="16384" width="14.42578125" style="218"/>
  </cols>
  <sheetData>
    <row r="1" spans="1:11" ht="15.75" thickBot="1" x14ac:dyDescent="0.3">
      <c r="A1" s="226" t="s">
        <v>6</v>
      </c>
      <c r="B1" s="227" t="s">
        <v>1122</v>
      </c>
      <c r="C1" s="227" t="s">
        <v>227</v>
      </c>
      <c r="D1" s="227" t="s">
        <v>228</v>
      </c>
      <c r="E1" s="227"/>
      <c r="F1" s="227" t="s">
        <v>229</v>
      </c>
      <c r="G1" s="228" t="s">
        <v>230</v>
      </c>
      <c r="J1" s="202" t="s">
        <v>1006</v>
      </c>
      <c r="K1" s="202" t="s">
        <v>1007</v>
      </c>
    </row>
    <row r="2" spans="1:11" ht="15" customHeight="1" x14ac:dyDescent="0.25">
      <c r="A2" s="262"/>
      <c r="B2" s="218" t="s">
        <v>44</v>
      </c>
      <c r="C2" s="86" t="s">
        <v>1021</v>
      </c>
      <c r="D2" s="208"/>
      <c r="E2" s="208">
        <v>1</v>
      </c>
      <c r="F2" s="56" t="s">
        <v>171</v>
      </c>
      <c r="G2" s="56"/>
      <c r="H2" s="219"/>
      <c r="I2" s="219"/>
      <c r="J2" s="168">
        <v>6.0750000000000002</v>
      </c>
      <c r="K2" s="45">
        <f>J2*D2</f>
        <v>0</v>
      </c>
    </row>
    <row r="3" spans="1:11" x14ac:dyDescent="0.25">
      <c r="A3" s="264" t="s">
        <v>27</v>
      </c>
      <c r="B3" s="218" t="s">
        <v>32</v>
      </c>
      <c r="C3" s="220" t="s">
        <v>1025</v>
      </c>
      <c r="D3" s="208">
        <v>10</v>
      </c>
      <c r="E3" s="221">
        <v>1</v>
      </c>
      <c r="F3" s="222" t="s">
        <v>276</v>
      </c>
      <c r="G3" s="222"/>
      <c r="J3" s="168"/>
      <c r="K3" s="45"/>
    </row>
    <row r="4" spans="1:11" x14ac:dyDescent="0.25">
      <c r="A4" s="264" t="s">
        <v>27</v>
      </c>
      <c r="B4" s="218" t="s">
        <v>45</v>
      </c>
      <c r="C4" s="220" t="s">
        <v>1027</v>
      </c>
      <c r="D4" s="208">
        <v>7</v>
      </c>
      <c r="E4" s="221">
        <v>1</v>
      </c>
      <c r="F4" s="222" t="s">
        <v>276</v>
      </c>
      <c r="G4" s="222"/>
      <c r="J4" s="168"/>
      <c r="K4" s="45"/>
    </row>
    <row r="5" spans="1:11" x14ac:dyDescent="0.25">
      <c r="A5" s="264" t="s">
        <v>27</v>
      </c>
      <c r="B5" s="218" t="s">
        <v>46</v>
      </c>
      <c r="C5" s="220" t="s">
        <v>1029</v>
      </c>
      <c r="D5" s="208">
        <v>2</v>
      </c>
      <c r="E5" s="221">
        <v>1</v>
      </c>
      <c r="F5" s="222" t="s">
        <v>276</v>
      </c>
      <c r="G5" s="222"/>
      <c r="J5" s="168"/>
      <c r="K5" s="45"/>
    </row>
    <row r="6" spans="1:11" x14ac:dyDescent="0.25">
      <c r="A6" s="264" t="s">
        <v>27</v>
      </c>
      <c r="B6" s="218" t="s">
        <v>47</v>
      </c>
      <c r="C6" s="220" t="s">
        <v>1030</v>
      </c>
      <c r="D6" s="208">
        <v>80</v>
      </c>
      <c r="E6" s="221">
        <v>1</v>
      </c>
      <c r="F6" s="222" t="s">
        <v>276</v>
      </c>
      <c r="G6" s="222"/>
      <c r="J6" s="168"/>
      <c r="K6" s="45"/>
    </row>
    <row r="7" spans="1:11" x14ac:dyDescent="0.25">
      <c r="A7" s="264" t="s">
        <v>80</v>
      </c>
      <c r="B7" s="218" t="s">
        <v>34</v>
      </c>
      <c r="C7" s="223" t="s">
        <v>1031</v>
      </c>
      <c r="D7" s="208"/>
      <c r="E7" s="221">
        <v>1</v>
      </c>
      <c r="F7" s="222" t="s">
        <v>276</v>
      </c>
      <c r="G7" s="222"/>
      <c r="J7" s="168"/>
      <c r="K7" s="45"/>
    </row>
    <row r="8" spans="1:11" ht="15" customHeight="1" x14ac:dyDescent="0.25">
      <c r="A8" s="264" t="s">
        <v>80</v>
      </c>
      <c r="B8" s="218" t="s">
        <v>36</v>
      </c>
      <c r="C8" s="220" t="s">
        <v>1035</v>
      </c>
      <c r="D8" s="208">
        <v>34</v>
      </c>
      <c r="E8" s="221">
        <v>1</v>
      </c>
      <c r="F8" s="220" t="s">
        <v>276</v>
      </c>
      <c r="G8" s="220"/>
      <c r="J8" s="168"/>
      <c r="K8" s="45"/>
    </row>
    <row r="9" spans="1:11" x14ac:dyDescent="0.25">
      <c r="A9" s="264" t="s">
        <v>78</v>
      </c>
      <c r="B9" s="218" t="s">
        <v>45</v>
      </c>
      <c r="C9" s="220" t="s">
        <v>1027</v>
      </c>
      <c r="D9" s="208"/>
      <c r="E9" s="221">
        <v>0</v>
      </c>
      <c r="F9" s="220" t="s">
        <v>276</v>
      </c>
      <c r="G9" s="220"/>
      <c r="J9" s="168"/>
      <c r="K9" s="45"/>
    </row>
    <row r="10" spans="1:11" x14ac:dyDescent="0.25">
      <c r="A10" s="262"/>
      <c r="C10" s="224" t="s">
        <v>553</v>
      </c>
      <c r="D10" s="208"/>
      <c r="E10" s="221">
        <v>1</v>
      </c>
      <c r="F10" s="220" t="s">
        <v>276</v>
      </c>
      <c r="G10" s="220"/>
      <c r="J10" s="168"/>
      <c r="K10" s="45"/>
    </row>
    <row r="11" spans="1:11" ht="15" customHeight="1" x14ac:dyDescent="0.25">
      <c r="A11" s="262"/>
      <c r="B11" s="218" t="s">
        <v>32</v>
      </c>
      <c r="C11" s="223" t="s">
        <v>630</v>
      </c>
      <c r="D11" s="208"/>
      <c r="E11" s="221">
        <v>0</v>
      </c>
      <c r="F11" s="222" t="s">
        <v>276</v>
      </c>
      <c r="G11" s="222"/>
      <c r="J11" s="168"/>
      <c r="K11" s="45"/>
    </row>
    <row r="12" spans="1:11" x14ac:dyDescent="0.25">
      <c r="A12" s="262"/>
      <c r="C12" s="220" t="s">
        <v>553</v>
      </c>
      <c r="D12" s="208"/>
      <c r="E12" s="221">
        <v>1</v>
      </c>
      <c r="F12" s="222" t="s">
        <v>276</v>
      </c>
      <c r="G12" s="222"/>
      <c r="J12" s="168"/>
      <c r="K12" s="45"/>
    </row>
    <row r="13" spans="1:11" x14ac:dyDescent="0.25">
      <c r="A13" s="264" t="s">
        <v>81</v>
      </c>
      <c r="B13" s="218" t="s">
        <v>44</v>
      </c>
      <c r="C13" s="220" t="s">
        <v>551</v>
      </c>
      <c r="D13" s="208"/>
      <c r="E13" s="221">
        <v>0</v>
      </c>
      <c r="F13" s="222" t="s">
        <v>276</v>
      </c>
      <c r="G13" s="222"/>
      <c r="J13" s="168"/>
      <c r="K13" s="45"/>
    </row>
    <row r="14" spans="1:11" x14ac:dyDescent="0.25">
      <c r="A14" s="264" t="s">
        <v>81</v>
      </c>
      <c r="B14" s="218" t="s">
        <v>32</v>
      </c>
      <c r="C14" s="220" t="s">
        <v>672</v>
      </c>
      <c r="D14" s="208"/>
      <c r="E14" s="221">
        <v>1</v>
      </c>
      <c r="F14" s="222" t="s">
        <v>276</v>
      </c>
      <c r="G14" s="222"/>
      <c r="J14" s="168"/>
      <c r="K14" s="45"/>
    </row>
    <row r="15" spans="1:11" x14ac:dyDescent="0.25">
      <c r="A15" s="264" t="s">
        <v>81</v>
      </c>
      <c r="B15" s="218" t="s">
        <v>32</v>
      </c>
      <c r="C15" s="220" t="s">
        <v>672</v>
      </c>
      <c r="D15" s="208"/>
      <c r="E15" s="221">
        <v>0</v>
      </c>
      <c r="F15" s="222" t="s">
        <v>276</v>
      </c>
      <c r="G15" s="222"/>
      <c r="J15" s="168"/>
      <c r="K15" s="45"/>
    </row>
    <row r="16" spans="1:11" x14ac:dyDescent="0.25">
      <c r="A16" s="264" t="s">
        <v>77</v>
      </c>
      <c r="B16" s="218" t="s">
        <v>32</v>
      </c>
      <c r="C16" s="220" t="s">
        <v>673</v>
      </c>
      <c r="D16" s="208"/>
      <c r="E16" s="221">
        <v>0</v>
      </c>
      <c r="F16" s="222" t="s">
        <v>276</v>
      </c>
      <c r="G16" s="222"/>
      <c r="J16" s="168"/>
      <c r="K16" s="45"/>
    </row>
    <row r="17" spans="1:11" x14ac:dyDescent="0.25">
      <c r="A17" s="264" t="s">
        <v>24</v>
      </c>
      <c r="B17" s="218" t="s">
        <v>32</v>
      </c>
      <c r="C17" s="223" t="s">
        <v>630</v>
      </c>
      <c r="D17" s="208"/>
      <c r="E17" s="221">
        <v>0</v>
      </c>
      <c r="F17" s="220" t="s">
        <v>276</v>
      </c>
      <c r="G17" s="220"/>
      <c r="J17" s="168"/>
      <c r="K17" s="45"/>
    </row>
    <row r="18" spans="1:11" x14ac:dyDescent="0.25">
      <c r="A18" s="264" t="s">
        <v>24</v>
      </c>
      <c r="C18" s="223" t="s">
        <v>553</v>
      </c>
      <c r="D18" s="208"/>
      <c r="E18" s="221">
        <v>0</v>
      </c>
      <c r="F18" s="220" t="s">
        <v>276</v>
      </c>
      <c r="G18" s="220"/>
      <c r="J18" s="168"/>
      <c r="K18" s="45"/>
    </row>
    <row r="19" spans="1:11" x14ac:dyDescent="0.25">
      <c r="A19" s="264" t="s">
        <v>24</v>
      </c>
      <c r="B19" s="218" t="s">
        <v>45</v>
      </c>
      <c r="C19" s="223" t="s">
        <v>310</v>
      </c>
      <c r="D19" s="208"/>
      <c r="E19" s="221">
        <v>0</v>
      </c>
      <c r="F19" s="220" t="s">
        <v>276</v>
      </c>
      <c r="G19" s="220"/>
      <c r="J19" s="168"/>
      <c r="K19" s="45"/>
    </row>
    <row r="20" spans="1:11" x14ac:dyDescent="0.25">
      <c r="A20" s="264" t="s">
        <v>24</v>
      </c>
      <c r="B20" s="218" t="s">
        <v>46</v>
      </c>
      <c r="C20" s="223" t="s">
        <v>312</v>
      </c>
      <c r="D20" s="208"/>
      <c r="E20" s="221">
        <v>0</v>
      </c>
      <c r="F20" s="220" t="s">
        <v>276</v>
      </c>
      <c r="G20" s="220"/>
      <c r="J20" s="168"/>
      <c r="K20" s="45"/>
    </row>
    <row r="21" spans="1:11" x14ac:dyDescent="0.25">
      <c r="A21" s="264" t="s">
        <v>24</v>
      </c>
      <c r="B21" s="218" t="s">
        <v>32</v>
      </c>
      <c r="C21" s="220" t="s">
        <v>672</v>
      </c>
      <c r="D21" s="208"/>
      <c r="E21" s="221">
        <v>0</v>
      </c>
      <c r="F21" s="222" t="s">
        <v>276</v>
      </c>
      <c r="G21" s="222"/>
      <c r="J21" s="168"/>
      <c r="K21" s="45"/>
    </row>
    <row r="22" spans="1:11" x14ac:dyDescent="0.25">
      <c r="A22" s="264" t="s">
        <v>28</v>
      </c>
      <c r="B22" s="218" t="s">
        <v>33</v>
      </c>
      <c r="C22" s="220" t="s">
        <v>688</v>
      </c>
      <c r="D22" s="208"/>
      <c r="E22" s="221">
        <v>0</v>
      </c>
      <c r="F22" s="222" t="s">
        <v>276</v>
      </c>
      <c r="G22" s="222"/>
      <c r="J22" s="168"/>
      <c r="K22" s="45"/>
    </row>
    <row r="23" spans="1:11" x14ac:dyDescent="0.25">
      <c r="A23" s="264" t="s">
        <v>28</v>
      </c>
      <c r="B23" s="218" t="s">
        <v>34</v>
      </c>
      <c r="C23" s="220" t="s">
        <v>691</v>
      </c>
      <c r="D23" s="208"/>
      <c r="E23" s="221">
        <v>1</v>
      </c>
      <c r="F23" s="222" t="s">
        <v>276</v>
      </c>
      <c r="G23" s="222"/>
      <c r="J23" s="168"/>
      <c r="K23" s="45"/>
    </row>
    <row r="24" spans="1:11" x14ac:dyDescent="0.25">
      <c r="A24" s="264" t="s">
        <v>28</v>
      </c>
      <c r="B24" s="218" t="s">
        <v>32</v>
      </c>
      <c r="C24" s="220" t="s">
        <v>673</v>
      </c>
      <c r="D24" s="208"/>
      <c r="E24" s="221">
        <v>0</v>
      </c>
      <c r="F24" s="222" t="s">
        <v>276</v>
      </c>
      <c r="G24" s="222"/>
      <c r="J24" s="168"/>
      <c r="K24" s="45"/>
    </row>
    <row r="25" spans="1:11" x14ac:dyDescent="0.25">
      <c r="A25" s="264" t="s">
        <v>22</v>
      </c>
      <c r="B25" s="218" t="s">
        <v>33</v>
      </c>
      <c r="C25" s="220" t="s">
        <v>692</v>
      </c>
      <c r="D25" s="208"/>
      <c r="E25" s="221">
        <v>0</v>
      </c>
      <c r="F25" s="222" t="s">
        <v>276</v>
      </c>
      <c r="G25" s="222"/>
      <c r="J25" s="168"/>
      <c r="K25" s="45"/>
    </row>
    <row r="26" spans="1:11" x14ac:dyDescent="0.25">
      <c r="A26" s="264" t="s">
        <v>91</v>
      </c>
      <c r="B26" s="218" t="s">
        <v>34</v>
      </c>
      <c r="C26" s="220" t="s">
        <v>693</v>
      </c>
      <c r="D26" s="208"/>
      <c r="E26" s="221">
        <v>0</v>
      </c>
      <c r="F26" s="222" t="s">
        <v>276</v>
      </c>
      <c r="G26" s="222"/>
      <c r="J26" s="168"/>
      <c r="K26" s="45"/>
    </row>
    <row r="27" spans="1:11" x14ac:dyDescent="0.25">
      <c r="A27" s="264" t="s">
        <v>93</v>
      </c>
      <c r="B27" s="218" t="s">
        <v>35</v>
      </c>
      <c r="C27" s="222" t="s">
        <v>581</v>
      </c>
      <c r="D27" s="208"/>
      <c r="E27" s="221">
        <v>0</v>
      </c>
      <c r="F27" s="222" t="s">
        <v>171</v>
      </c>
      <c r="G27" s="222"/>
      <c r="J27" s="168"/>
      <c r="K27" s="45"/>
    </row>
    <row r="28" spans="1:11" x14ac:dyDescent="0.25">
      <c r="A28" s="264" t="s">
        <v>93</v>
      </c>
      <c r="B28" s="218" t="s">
        <v>1150</v>
      </c>
      <c r="C28" s="222" t="s">
        <v>581</v>
      </c>
      <c r="D28" s="208"/>
      <c r="E28" s="221">
        <v>0</v>
      </c>
      <c r="F28" s="222" t="s">
        <v>171</v>
      </c>
      <c r="G28" s="222"/>
      <c r="J28" s="168"/>
      <c r="K28" s="45"/>
    </row>
    <row r="29" spans="1:11" x14ac:dyDescent="0.25">
      <c r="A29" s="264" t="s">
        <v>93</v>
      </c>
      <c r="B29" s="218" t="s">
        <v>1151</v>
      </c>
      <c r="C29" s="222" t="s">
        <v>581</v>
      </c>
      <c r="D29" s="208"/>
      <c r="E29" s="221">
        <v>0</v>
      </c>
      <c r="F29" s="222" t="s">
        <v>171</v>
      </c>
      <c r="G29" s="222"/>
      <c r="J29" s="168"/>
      <c r="K29" s="45"/>
    </row>
    <row r="30" spans="1:11" x14ac:dyDescent="0.25">
      <c r="A30" s="264" t="s">
        <v>93</v>
      </c>
      <c r="B30" s="264" t="s">
        <v>33</v>
      </c>
      <c r="C30" s="222" t="s">
        <v>1042</v>
      </c>
      <c r="D30" s="208"/>
      <c r="E30" s="221">
        <v>0</v>
      </c>
      <c r="F30" s="222" t="s">
        <v>276</v>
      </c>
      <c r="G30" s="222"/>
      <c r="H30" s="264"/>
      <c r="I30" s="264"/>
      <c r="J30" s="168"/>
      <c r="K30" s="45"/>
    </row>
    <row r="31" spans="1:11" x14ac:dyDescent="0.25">
      <c r="A31" s="264" t="s">
        <v>26</v>
      </c>
      <c r="B31" s="264" t="s">
        <v>32</v>
      </c>
      <c r="C31" s="222" t="s">
        <v>1043</v>
      </c>
      <c r="D31" s="208"/>
      <c r="E31" s="221">
        <v>0</v>
      </c>
      <c r="F31" s="222" t="s">
        <v>276</v>
      </c>
      <c r="G31" s="222"/>
      <c r="H31" s="264"/>
      <c r="I31" s="264"/>
      <c r="J31" s="168"/>
      <c r="K31" s="45"/>
    </row>
    <row r="32" spans="1:11" s="264" customFormat="1" x14ac:dyDescent="0.25">
      <c r="C32" s="222" t="s">
        <v>551</v>
      </c>
      <c r="D32" s="208"/>
      <c r="E32" s="221">
        <v>0</v>
      </c>
      <c r="F32" s="222" t="s">
        <v>276</v>
      </c>
      <c r="G32" s="222"/>
      <c r="J32" s="168"/>
      <c r="K32" s="45"/>
    </row>
    <row r="33" spans="1:11" x14ac:dyDescent="0.25">
      <c r="A33" s="264" t="s">
        <v>24</v>
      </c>
      <c r="B33" s="264"/>
      <c r="C33" s="222" t="s">
        <v>553</v>
      </c>
      <c r="D33" s="208"/>
      <c r="E33" s="221">
        <v>0</v>
      </c>
      <c r="F33" s="222" t="s">
        <v>276</v>
      </c>
      <c r="G33" s="222"/>
      <c r="H33" s="264"/>
      <c r="I33" s="264"/>
      <c r="J33" s="168"/>
      <c r="K33" s="45"/>
    </row>
    <row r="34" spans="1:11" x14ac:dyDescent="0.25">
      <c r="A34" s="264" t="s">
        <v>24</v>
      </c>
      <c r="B34" s="264"/>
      <c r="C34" s="222" t="s">
        <v>1155</v>
      </c>
      <c r="D34" s="208"/>
      <c r="E34" s="221">
        <v>0</v>
      </c>
      <c r="F34" s="222" t="s">
        <v>276</v>
      </c>
      <c r="G34" s="222"/>
      <c r="H34" s="264"/>
      <c r="I34" s="264"/>
      <c r="J34" s="168"/>
      <c r="K34" s="45"/>
    </row>
    <row r="35" spans="1:11" x14ac:dyDescent="0.25">
      <c r="A35" s="264" t="s">
        <v>24</v>
      </c>
      <c r="B35" s="218" t="s">
        <v>32</v>
      </c>
      <c r="C35" s="220" t="s">
        <v>1050</v>
      </c>
      <c r="D35" s="208"/>
      <c r="E35" s="221">
        <v>0</v>
      </c>
      <c r="F35" s="222" t="s">
        <v>276</v>
      </c>
      <c r="G35" s="222"/>
      <c r="J35" s="168"/>
      <c r="K35" s="45"/>
    </row>
    <row r="36" spans="1:11" s="264" customFormat="1" x14ac:dyDescent="0.25">
      <c r="C36" s="280" t="s">
        <v>645</v>
      </c>
      <c r="D36" s="208"/>
      <c r="E36" s="221">
        <v>0</v>
      </c>
      <c r="F36" s="222" t="s">
        <v>276</v>
      </c>
      <c r="G36" s="289"/>
      <c r="J36" s="278"/>
      <c r="K36" s="267"/>
    </row>
    <row r="37" spans="1:11" x14ac:dyDescent="0.25">
      <c r="A37" s="264" t="s">
        <v>24</v>
      </c>
      <c r="C37" s="224" t="s">
        <v>638</v>
      </c>
      <c r="D37" s="208"/>
      <c r="E37" s="221">
        <v>0</v>
      </c>
      <c r="F37" s="222" t="s">
        <v>394</v>
      </c>
      <c r="G37" s="222"/>
      <c r="J37" s="168"/>
      <c r="K37" s="45"/>
    </row>
    <row r="38" spans="1:11" x14ac:dyDescent="0.25">
      <c r="A38" s="264" t="s">
        <v>28</v>
      </c>
      <c r="C38" s="222" t="s">
        <v>1062</v>
      </c>
      <c r="D38" s="208"/>
      <c r="E38" s="221">
        <v>1</v>
      </c>
      <c r="F38" s="222"/>
      <c r="G38" s="222"/>
      <c r="J38" s="168"/>
      <c r="K38" s="45"/>
    </row>
    <row r="39" spans="1:11" x14ac:dyDescent="0.25">
      <c r="A39" s="264" t="s">
        <v>28</v>
      </c>
      <c r="C39" s="222" t="s">
        <v>1063</v>
      </c>
      <c r="D39" s="208"/>
      <c r="E39" s="221">
        <v>0</v>
      </c>
      <c r="F39" s="222" t="s">
        <v>394</v>
      </c>
      <c r="G39" s="222"/>
      <c r="J39" s="168"/>
      <c r="K39" s="45"/>
    </row>
    <row r="40" spans="1:11" x14ac:dyDescent="0.25">
      <c r="A40" s="264" t="s">
        <v>28</v>
      </c>
      <c r="C40" s="222" t="s">
        <v>826</v>
      </c>
      <c r="D40" s="208"/>
      <c r="E40" s="221">
        <v>0</v>
      </c>
      <c r="F40" s="222" t="s">
        <v>394</v>
      </c>
      <c r="G40" s="222"/>
      <c r="J40" s="168"/>
      <c r="K40" s="45"/>
    </row>
    <row r="41" spans="1:11" x14ac:dyDescent="0.25">
      <c r="A41" s="264" t="s">
        <v>28</v>
      </c>
      <c r="C41" s="222" t="s">
        <v>1065</v>
      </c>
      <c r="D41" s="208"/>
      <c r="E41" s="221">
        <v>0</v>
      </c>
      <c r="F41" s="222" t="s">
        <v>394</v>
      </c>
      <c r="G41" s="222"/>
      <c r="J41" s="168"/>
      <c r="K41" s="45"/>
    </row>
    <row r="42" spans="1:11" x14ac:dyDescent="0.25">
      <c r="A42" s="264" t="s">
        <v>28</v>
      </c>
      <c r="B42" s="218" t="s">
        <v>36</v>
      </c>
      <c r="C42" s="220" t="s">
        <v>1066</v>
      </c>
      <c r="D42" s="208"/>
      <c r="E42" s="221">
        <v>1</v>
      </c>
      <c r="F42" s="220" t="s">
        <v>276</v>
      </c>
      <c r="G42" s="220"/>
      <c r="J42" s="168"/>
      <c r="K42" s="45"/>
    </row>
    <row r="43" spans="1:11" ht="15.75" customHeight="1" x14ac:dyDescent="0.25">
      <c r="A43" s="264" t="s">
        <v>22</v>
      </c>
      <c r="B43" s="218" t="s">
        <v>35</v>
      </c>
      <c r="C43" s="222" t="s">
        <v>581</v>
      </c>
      <c r="D43" s="208"/>
      <c r="E43" s="221">
        <v>1</v>
      </c>
      <c r="F43" s="222" t="s">
        <v>171</v>
      </c>
      <c r="G43" s="222"/>
      <c r="J43" s="168">
        <v>9.09</v>
      </c>
      <c r="K43" s="45">
        <f>J43*D43</f>
        <v>0</v>
      </c>
    </row>
    <row r="44" spans="1:11" ht="15" customHeight="1" x14ac:dyDescent="0.25">
      <c r="A44" s="264" t="s">
        <v>91</v>
      </c>
      <c r="B44" s="218" t="s">
        <v>1150</v>
      </c>
      <c r="C44" s="222" t="s">
        <v>581</v>
      </c>
      <c r="D44" s="208"/>
      <c r="E44" s="221">
        <v>0</v>
      </c>
      <c r="F44" s="222" t="s">
        <v>171</v>
      </c>
      <c r="G44" s="222"/>
      <c r="J44" s="168"/>
      <c r="K44" s="45"/>
    </row>
    <row r="45" spans="1:11" ht="15" customHeight="1" x14ac:dyDescent="0.25">
      <c r="A45" s="264" t="s">
        <v>91</v>
      </c>
      <c r="B45" s="218" t="s">
        <v>1151</v>
      </c>
      <c r="C45" s="222" t="s">
        <v>581</v>
      </c>
      <c r="D45" s="208"/>
      <c r="E45" s="221">
        <v>0</v>
      </c>
      <c r="F45" s="222" t="s">
        <v>171</v>
      </c>
      <c r="G45" s="222"/>
      <c r="J45" s="168"/>
      <c r="K45" s="45"/>
    </row>
    <row r="46" spans="1:11" ht="15" customHeight="1" x14ac:dyDescent="0.25">
      <c r="A46" s="264" t="s">
        <v>91</v>
      </c>
      <c r="B46" s="218" t="s">
        <v>33</v>
      </c>
      <c r="C46" s="222" t="s">
        <v>1042</v>
      </c>
      <c r="D46" s="208"/>
      <c r="E46" s="221">
        <v>0</v>
      </c>
      <c r="F46" s="222" t="s">
        <v>276</v>
      </c>
      <c r="G46" s="222"/>
      <c r="J46" s="168">
        <v>8.4</v>
      </c>
      <c r="K46" s="45">
        <f>J46*D46</f>
        <v>0</v>
      </c>
    </row>
    <row r="47" spans="1:11" ht="15" customHeight="1" x14ac:dyDescent="0.25">
      <c r="A47" s="264" t="s">
        <v>91</v>
      </c>
      <c r="B47" s="218" t="s">
        <v>32</v>
      </c>
      <c r="C47" s="220" t="s">
        <v>1043</v>
      </c>
      <c r="D47" s="208"/>
      <c r="E47" s="221">
        <v>0</v>
      </c>
      <c r="F47" s="222" t="s">
        <v>276</v>
      </c>
      <c r="G47" s="222"/>
      <c r="J47" s="168">
        <v>5.37</v>
      </c>
      <c r="K47" s="45">
        <f>J47*D47</f>
        <v>0</v>
      </c>
    </row>
    <row r="48" spans="1:11" ht="15.75" customHeight="1" x14ac:dyDescent="0.25">
      <c r="A48" s="264" t="s">
        <v>91</v>
      </c>
      <c r="B48" s="218" t="s">
        <v>31</v>
      </c>
      <c r="C48" s="220" t="s">
        <v>1046</v>
      </c>
      <c r="D48" s="208"/>
      <c r="E48" s="221">
        <v>0</v>
      </c>
      <c r="F48" s="222" t="s">
        <v>276</v>
      </c>
      <c r="G48" s="222"/>
      <c r="J48" s="168"/>
      <c r="K48" s="45"/>
    </row>
    <row r="49" spans="1:11" ht="15.75" customHeight="1" x14ac:dyDescent="0.25">
      <c r="A49" s="262"/>
      <c r="B49" s="218" t="s">
        <v>38</v>
      </c>
      <c r="C49" s="220" t="s">
        <v>1048</v>
      </c>
      <c r="D49" s="208">
        <v>99999999</v>
      </c>
      <c r="E49" s="221">
        <v>0</v>
      </c>
      <c r="F49" s="222" t="s">
        <v>276</v>
      </c>
      <c r="G49" s="222" t="s">
        <v>1047</v>
      </c>
      <c r="J49" s="168">
        <v>1.79</v>
      </c>
      <c r="K49" s="45">
        <f>J49*D49</f>
        <v>178999998.21000001</v>
      </c>
    </row>
    <row r="50" spans="1:11" ht="15.75" customHeight="1" x14ac:dyDescent="0.25">
      <c r="C50" s="220" t="s">
        <v>141</v>
      </c>
      <c r="D50" s="208">
        <v>99999999</v>
      </c>
      <c r="E50" s="221">
        <v>0</v>
      </c>
      <c r="F50" s="222" t="s">
        <v>276</v>
      </c>
      <c r="G50" s="222" t="s">
        <v>1047</v>
      </c>
      <c r="J50" s="168"/>
      <c r="K50" s="45"/>
    </row>
    <row r="51" spans="1:11" s="264" customFormat="1" ht="15.75" customHeight="1" x14ac:dyDescent="0.25">
      <c r="C51" s="280" t="s">
        <v>140</v>
      </c>
      <c r="D51" s="208">
        <v>99999999</v>
      </c>
      <c r="E51" s="221">
        <v>0</v>
      </c>
      <c r="F51" s="222" t="s">
        <v>276</v>
      </c>
      <c r="G51" s="289"/>
      <c r="J51" s="278"/>
      <c r="K51" s="267"/>
    </row>
    <row r="52" spans="1:11" ht="15.75" customHeight="1" x14ac:dyDescent="0.25">
      <c r="C52" s="220" t="s">
        <v>1155</v>
      </c>
      <c r="D52" s="208">
        <v>99999999</v>
      </c>
      <c r="E52" s="221">
        <v>0</v>
      </c>
      <c r="F52" s="222" t="s">
        <v>276</v>
      </c>
      <c r="G52" s="222" t="s">
        <v>1047</v>
      </c>
      <c r="J52" s="168"/>
      <c r="K52" s="45"/>
    </row>
    <row r="53" spans="1:11" ht="15.75" customHeight="1" x14ac:dyDescent="0.25">
      <c r="B53" s="218" t="s">
        <v>32</v>
      </c>
      <c r="C53" s="220" t="s">
        <v>1050</v>
      </c>
      <c r="D53" s="208">
        <v>99999999</v>
      </c>
      <c r="E53" s="221">
        <v>1</v>
      </c>
      <c r="F53" s="222" t="s">
        <v>276</v>
      </c>
      <c r="G53" s="222" t="s">
        <v>1051</v>
      </c>
      <c r="J53" s="168">
        <v>5.37</v>
      </c>
      <c r="K53" s="45">
        <f>J53*D53</f>
        <v>536999994.63</v>
      </c>
    </row>
    <row r="54" spans="1:11" s="264" customFormat="1" ht="15.75" customHeight="1" x14ac:dyDescent="0.25">
      <c r="C54" s="280" t="s">
        <v>645</v>
      </c>
      <c r="D54" s="208">
        <v>99999999</v>
      </c>
      <c r="E54" s="221">
        <v>0</v>
      </c>
      <c r="F54" s="289"/>
      <c r="G54" s="289"/>
      <c r="J54" s="278"/>
      <c r="K54" s="267"/>
    </row>
    <row r="55" spans="1:11" ht="15.75" customHeight="1" x14ac:dyDescent="0.25">
      <c r="C55" s="224" t="s">
        <v>638</v>
      </c>
      <c r="D55" s="208">
        <v>99999999</v>
      </c>
      <c r="E55" s="221">
        <v>1</v>
      </c>
      <c r="F55" s="222" t="s">
        <v>394</v>
      </c>
      <c r="G55" s="222" t="s">
        <v>1074</v>
      </c>
      <c r="J55" s="168">
        <v>19.399999999999999</v>
      </c>
      <c r="K55" s="45">
        <f>J55*D55</f>
        <v>1939999980.5999999</v>
      </c>
    </row>
    <row r="56" spans="1:11" ht="15" customHeight="1" x14ac:dyDescent="0.25">
      <c r="C56" s="223" t="s">
        <v>1075</v>
      </c>
      <c r="D56" s="208">
        <v>99999999</v>
      </c>
      <c r="E56" s="221">
        <v>0</v>
      </c>
      <c r="F56" s="222" t="s">
        <v>394</v>
      </c>
      <c r="G56" s="222" t="s">
        <v>1076</v>
      </c>
      <c r="J56" s="168">
        <v>18.28</v>
      </c>
      <c r="K56" s="45">
        <f>J56*D56</f>
        <v>1827999981.72</v>
      </c>
    </row>
    <row r="57" spans="1:11" ht="15.75" customHeight="1" x14ac:dyDescent="0.25">
      <c r="C57" s="223" t="s">
        <v>1077</v>
      </c>
      <c r="D57" s="208">
        <v>99999999</v>
      </c>
      <c r="E57" s="221">
        <v>0</v>
      </c>
      <c r="F57" s="222" t="s">
        <v>394</v>
      </c>
      <c r="G57" s="222" t="s">
        <v>1076</v>
      </c>
      <c r="J57" s="168"/>
      <c r="K57" s="45"/>
    </row>
    <row r="58" spans="1:11" ht="15.75" customHeight="1" x14ac:dyDescent="0.25">
      <c r="C58" s="223" t="s">
        <v>1081</v>
      </c>
      <c r="D58" s="208">
        <v>99999999</v>
      </c>
      <c r="E58" s="221">
        <v>0</v>
      </c>
      <c r="F58" s="222" t="s">
        <v>394</v>
      </c>
      <c r="G58" s="222" t="s">
        <v>1082</v>
      </c>
      <c r="J58" s="168"/>
      <c r="K58" s="45"/>
    </row>
    <row r="59" spans="1:11" ht="15.75" customHeight="1" x14ac:dyDescent="0.25">
      <c r="C59" s="223" t="s">
        <v>1083</v>
      </c>
      <c r="D59" s="208">
        <v>99999999</v>
      </c>
      <c r="E59" s="221">
        <v>0</v>
      </c>
      <c r="F59" s="222" t="s">
        <v>394</v>
      </c>
      <c r="G59" s="222" t="s">
        <v>1082</v>
      </c>
      <c r="J59" s="168"/>
      <c r="K59" s="45"/>
    </row>
    <row r="60" spans="1:11" ht="15" customHeight="1" x14ac:dyDescent="0.25">
      <c r="C60" s="224" t="s">
        <v>1091</v>
      </c>
      <c r="D60" s="208">
        <v>99999999</v>
      </c>
      <c r="E60" s="221">
        <v>0</v>
      </c>
      <c r="F60" s="222" t="s">
        <v>477</v>
      </c>
      <c r="G60" s="222"/>
      <c r="J60" s="168"/>
      <c r="K60" s="45"/>
    </row>
    <row r="61" spans="1:11" ht="15" customHeight="1" x14ac:dyDescent="0.25">
      <c r="B61" s="218" t="s">
        <v>32</v>
      </c>
      <c r="C61" s="220" t="s">
        <v>672</v>
      </c>
      <c r="D61" s="208">
        <v>99999999</v>
      </c>
      <c r="E61" s="221">
        <v>0</v>
      </c>
      <c r="F61" s="222" t="s">
        <v>276</v>
      </c>
      <c r="G61" s="222"/>
      <c r="J61" s="168"/>
      <c r="K61" s="45"/>
    </row>
    <row r="62" spans="1:11" ht="15" customHeight="1" x14ac:dyDescent="0.25">
      <c r="B62" s="218" t="s">
        <v>33</v>
      </c>
      <c r="C62" s="220" t="s">
        <v>688</v>
      </c>
      <c r="D62" s="208">
        <v>99999999</v>
      </c>
      <c r="E62" s="221">
        <v>0</v>
      </c>
      <c r="F62" s="222" t="s">
        <v>276</v>
      </c>
      <c r="G62" s="222"/>
      <c r="J62" s="168"/>
      <c r="K62" s="45"/>
    </row>
    <row r="63" spans="1:11" ht="15.75" customHeight="1" x14ac:dyDescent="0.25">
      <c r="C63" s="224" t="s">
        <v>1092</v>
      </c>
      <c r="D63" s="208">
        <v>99999999</v>
      </c>
      <c r="E63" s="225">
        <v>1</v>
      </c>
      <c r="F63" s="222" t="s">
        <v>171</v>
      </c>
      <c r="G63" s="222" t="s">
        <v>1093</v>
      </c>
      <c r="J63" s="168"/>
      <c r="K63" s="45"/>
    </row>
    <row r="64" spans="1:11" ht="15" customHeight="1" x14ac:dyDescent="0.25">
      <c r="B64" s="218" t="s">
        <v>32</v>
      </c>
      <c r="C64" s="222" t="s">
        <v>1096</v>
      </c>
      <c r="D64" s="208">
        <v>99999999</v>
      </c>
      <c r="E64" s="221">
        <v>0</v>
      </c>
      <c r="F64" s="222" t="s">
        <v>276</v>
      </c>
      <c r="G64" s="222" t="s">
        <v>891</v>
      </c>
      <c r="J64" s="168">
        <v>5.37</v>
      </c>
      <c r="K64" s="45">
        <f>J64*D64</f>
        <v>536999994.63</v>
      </c>
    </row>
    <row r="65" spans="2:21" ht="15" customHeight="1" x14ac:dyDescent="0.25">
      <c r="C65" s="222" t="s">
        <v>1099</v>
      </c>
      <c r="D65" s="208">
        <v>99999999</v>
      </c>
      <c r="E65" s="221">
        <v>0</v>
      </c>
      <c r="F65" s="222" t="s">
        <v>276</v>
      </c>
      <c r="G65" s="222" t="s">
        <v>891</v>
      </c>
      <c r="J65" s="168">
        <v>1.79</v>
      </c>
      <c r="K65" s="45">
        <f>J65*D65</f>
        <v>178999998.21000001</v>
      </c>
    </row>
    <row r="66" spans="2:21" ht="15.75" customHeight="1" x14ac:dyDescent="0.25">
      <c r="C66" s="222" t="s">
        <v>1155</v>
      </c>
      <c r="D66" s="208">
        <v>99999999</v>
      </c>
      <c r="E66" s="221">
        <v>0</v>
      </c>
      <c r="F66" s="222"/>
      <c r="G66" s="222" t="s">
        <v>891</v>
      </c>
      <c r="J66" s="168">
        <v>8.77</v>
      </c>
      <c r="K66" s="45">
        <f>J66*D66</f>
        <v>876999991.2299999</v>
      </c>
    </row>
    <row r="67" spans="2:21" ht="15.75" customHeight="1" x14ac:dyDescent="0.25">
      <c r="B67" s="218" t="s">
        <v>44</v>
      </c>
      <c r="C67" s="220" t="s">
        <v>1021</v>
      </c>
      <c r="D67" s="208">
        <v>99999999</v>
      </c>
      <c r="E67" s="221">
        <v>0</v>
      </c>
      <c r="F67" s="222" t="s">
        <v>276</v>
      </c>
      <c r="G67" s="222" t="s">
        <v>1102</v>
      </c>
      <c r="H67" s="40"/>
      <c r="I67" s="40"/>
      <c r="J67" s="168"/>
      <c r="K67" s="45"/>
      <c r="L67" s="40"/>
      <c r="M67" s="40"/>
      <c r="N67" s="40"/>
      <c r="O67" s="40"/>
      <c r="P67" s="40"/>
      <c r="Q67" s="40"/>
      <c r="R67" s="40"/>
      <c r="S67" s="40"/>
      <c r="T67" s="40"/>
      <c r="U67" s="40"/>
    </row>
    <row r="68" spans="2:21" ht="15.75" customHeight="1" x14ac:dyDescent="0.25">
      <c r="B68" s="218" t="s">
        <v>52</v>
      </c>
      <c r="C68" s="220" t="s">
        <v>1103</v>
      </c>
      <c r="D68" s="208">
        <v>99999999</v>
      </c>
      <c r="E68" s="221">
        <v>0</v>
      </c>
      <c r="F68" s="222" t="s">
        <v>276</v>
      </c>
      <c r="G68" s="222" t="s">
        <v>1104</v>
      </c>
      <c r="J68" s="168">
        <v>6.0750000000000002</v>
      </c>
      <c r="K68" s="45">
        <f>J68*D68</f>
        <v>607499993.92500007</v>
      </c>
    </row>
    <row r="69" spans="2:21" ht="15" customHeight="1" x14ac:dyDescent="0.25">
      <c r="C69" s="223" t="s">
        <v>616</v>
      </c>
      <c r="D69" s="208">
        <v>99999999</v>
      </c>
      <c r="E69" s="221">
        <v>0</v>
      </c>
      <c r="F69" s="222" t="s">
        <v>276</v>
      </c>
      <c r="G69" s="222" t="s">
        <v>971</v>
      </c>
      <c r="J69" s="168">
        <v>11.65</v>
      </c>
      <c r="K69" s="45">
        <f>J69*D69</f>
        <v>1164999988.3500001</v>
      </c>
    </row>
    <row r="70" spans="2:21" ht="15" customHeight="1" x14ac:dyDescent="0.25">
      <c r="C70" s="223" t="s">
        <v>981</v>
      </c>
      <c r="D70" s="208">
        <v>99999999</v>
      </c>
      <c r="E70" s="221">
        <v>0</v>
      </c>
      <c r="F70" s="222" t="s">
        <v>276</v>
      </c>
      <c r="G70" s="222" t="s">
        <v>971</v>
      </c>
      <c r="J70" s="168">
        <v>6.48</v>
      </c>
      <c r="K70" s="45">
        <f>J70*D70</f>
        <v>647999993.5200001</v>
      </c>
    </row>
    <row r="71" spans="2:21" ht="15" customHeight="1" x14ac:dyDescent="0.25">
      <c r="C71" s="223" t="s">
        <v>999</v>
      </c>
      <c r="D71" s="208">
        <v>99999999</v>
      </c>
      <c r="E71" s="221">
        <v>0</v>
      </c>
      <c r="F71" s="222" t="s">
        <v>276</v>
      </c>
      <c r="G71" s="222" t="s">
        <v>971</v>
      </c>
      <c r="J71" s="168">
        <v>3.37</v>
      </c>
      <c r="K71" s="45">
        <f>J71*D71</f>
        <v>336999996.63</v>
      </c>
    </row>
    <row r="72" spans="2:21" ht="15.75" customHeight="1" x14ac:dyDescent="0.25">
      <c r="B72" s="218" t="s">
        <v>47</v>
      </c>
      <c r="C72" s="222" t="s">
        <v>733</v>
      </c>
      <c r="D72" s="208">
        <v>99999999</v>
      </c>
      <c r="E72" s="221">
        <v>0</v>
      </c>
      <c r="F72" s="222" t="s">
        <v>276</v>
      </c>
      <c r="G72" s="222" t="s">
        <v>734</v>
      </c>
    </row>
    <row r="73" spans="2:21" ht="15.75" customHeight="1" x14ac:dyDescent="0.25">
      <c r="B73" s="218" t="s">
        <v>46</v>
      </c>
      <c r="C73" s="222" t="s">
        <v>680</v>
      </c>
      <c r="D73" s="208">
        <v>99999999</v>
      </c>
      <c r="E73" s="221">
        <v>0</v>
      </c>
      <c r="F73" s="222" t="s">
        <v>276</v>
      </c>
      <c r="G73" s="222" t="s">
        <v>736</v>
      </c>
    </row>
    <row r="74" spans="2:21" ht="15.75" customHeight="1" x14ac:dyDescent="0.25">
      <c r="B74" s="218" t="s">
        <v>46</v>
      </c>
      <c r="C74" s="222" t="s">
        <v>1113</v>
      </c>
      <c r="D74" s="208">
        <v>99999999</v>
      </c>
      <c r="E74" s="221">
        <v>0</v>
      </c>
      <c r="F74" s="222" t="s">
        <v>276</v>
      </c>
      <c r="G74" s="222" t="s">
        <v>1114</v>
      </c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</row>
    <row r="75" spans="2:21" ht="15.75" customHeight="1" x14ac:dyDescent="0.25">
      <c r="B75" s="218" t="s">
        <v>44</v>
      </c>
      <c r="C75" s="222" t="s">
        <v>140</v>
      </c>
      <c r="D75" s="208">
        <v>99999999</v>
      </c>
      <c r="E75" s="221">
        <v>0</v>
      </c>
      <c r="F75" s="222" t="s">
        <v>276</v>
      </c>
      <c r="G75" s="222" t="s">
        <v>1115</v>
      </c>
    </row>
    <row r="76" spans="2:21" ht="15.75" customHeight="1" x14ac:dyDescent="0.25">
      <c r="C76" s="222" t="s">
        <v>1118</v>
      </c>
      <c r="D76" s="208">
        <v>99999999</v>
      </c>
      <c r="E76" s="221">
        <v>0</v>
      </c>
      <c r="F76" s="222" t="s">
        <v>276</v>
      </c>
      <c r="G76" s="222" t="s">
        <v>1119</v>
      </c>
    </row>
    <row r="77" spans="2:21" ht="15.75" customHeight="1" x14ac:dyDescent="0.25">
      <c r="C77" s="40"/>
      <c r="D77" s="41"/>
      <c r="E77" s="41"/>
      <c r="F77" s="40"/>
      <c r="G77" s="40"/>
    </row>
    <row r="78" spans="2:21" ht="15.75" customHeight="1" x14ac:dyDescent="0.25">
      <c r="C78" s="40"/>
      <c r="D78" s="41"/>
      <c r="E78" s="41"/>
      <c r="F78" s="40"/>
      <c r="G78" s="40"/>
    </row>
    <row r="79" spans="2:21" ht="15.75" customHeight="1" x14ac:dyDescent="0.25">
      <c r="C79" s="40"/>
      <c r="D79" s="41"/>
      <c r="E79" s="41"/>
      <c r="F79" s="40"/>
      <c r="G79" s="40"/>
    </row>
    <row r="80" spans="2:21" ht="15.75" customHeight="1" x14ac:dyDescent="0.25">
      <c r="C80" s="40"/>
      <c r="D80" s="41"/>
      <c r="E80" s="41"/>
      <c r="F80" s="40"/>
      <c r="G80" s="40"/>
    </row>
    <row r="81" spans="3:11" ht="15.75" customHeight="1" x14ac:dyDescent="0.25">
      <c r="C81" s="40"/>
      <c r="D81" s="41"/>
      <c r="E81" s="41"/>
      <c r="F81" s="40"/>
      <c r="G81" s="40"/>
    </row>
    <row r="82" spans="3:11" ht="15.75" customHeight="1" x14ac:dyDescent="0.25">
      <c r="C82" s="40"/>
      <c r="D82" s="41"/>
      <c r="E82" s="41"/>
      <c r="F82" s="40"/>
      <c r="G82" s="40"/>
    </row>
    <row r="83" spans="3:11" ht="15.75" customHeight="1" x14ac:dyDescent="0.25">
      <c r="C83" s="40"/>
      <c r="D83" s="41"/>
      <c r="E83" s="41"/>
      <c r="F83" s="40"/>
      <c r="G83" s="40"/>
      <c r="J83" s="215" t="s">
        <v>1003</v>
      </c>
      <c r="K83" s="215" t="e">
        <f>SUM(K2,K43,K46,K47,K49,#REF!,K53,K56,K64,K65,K66,K68,K69,K70,K71)</f>
        <v>#REF!</v>
      </c>
    </row>
    <row r="84" spans="3:11" ht="15.75" customHeight="1" x14ac:dyDescent="0.25">
      <c r="C84" s="40"/>
      <c r="D84" s="41"/>
      <c r="E84" s="41"/>
      <c r="F84" s="40"/>
      <c r="G84" s="40"/>
    </row>
    <row r="85" spans="3:11" ht="15.75" customHeight="1" x14ac:dyDescent="0.25">
      <c r="C85" s="40"/>
      <c r="D85" s="41"/>
      <c r="E85" s="41"/>
      <c r="F85" s="40"/>
      <c r="G85" s="40"/>
    </row>
    <row r="86" spans="3:11" ht="15.75" customHeight="1" x14ac:dyDescent="0.25">
      <c r="C86" s="40"/>
      <c r="D86" s="41"/>
      <c r="E86" s="41"/>
      <c r="F86" s="40"/>
      <c r="G86" s="40"/>
    </row>
    <row r="87" spans="3:11" ht="15.75" customHeight="1" x14ac:dyDescent="0.25">
      <c r="C87" s="40"/>
      <c r="D87" s="41"/>
      <c r="E87" s="41"/>
      <c r="F87" s="40"/>
      <c r="G87" s="40"/>
    </row>
    <row r="88" spans="3:11" ht="15.75" customHeight="1" x14ac:dyDescent="0.25">
      <c r="C88" s="40"/>
      <c r="D88" s="41"/>
      <c r="E88" s="41"/>
      <c r="F88" s="40"/>
      <c r="G88" s="40"/>
    </row>
    <row r="89" spans="3:11" ht="15.75" customHeight="1" x14ac:dyDescent="0.25">
      <c r="C89" s="40"/>
      <c r="D89" s="41"/>
      <c r="E89" s="41"/>
      <c r="F89" s="40"/>
      <c r="G89" s="40"/>
    </row>
    <row r="90" spans="3:11" ht="15.75" customHeight="1" x14ac:dyDescent="0.25">
      <c r="C90" s="40"/>
      <c r="D90" s="41"/>
      <c r="E90" s="41"/>
      <c r="F90" s="40"/>
      <c r="G90" s="40"/>
    </row>
    <row r="91" spans="3:11" ht="15.75" customHeight="1" x14ac:dyDescent="0.25">
      <c r="C91" s="40"/>
      <c r="D91" s="41"/>
      <c r="E91" s="41"/>
      <c r="F91" s="40"/>
      <c r="G91" s="40"/>
    </row>
    <row r="92" spans="3:11" ht="15.75" customHeight="1" x14ac:dyDescent="0.25">
      <c r="C92" s="40"/>
      <c r="D92" s="41"/>
      <c r="E92" s="41"/>
      <c r="F92" s="40"/>
      <c r="G92" s="40"/>
    </row>
    <row r="93" spans="3:11" ht="15.75" customHeight="1" x14ac:dyDescent="0.25">
      <c r="C93" s="40"/>
      <c r="D93" s="41"/>
      <c r="E93" s="41"/>
      <c r="F93" s="40"/>
      <c r="G93" s="40"/>
    </row>
    <row r="94" spans="3:11" ht="15.75" customHeight="1" x14ac:dyDescent="0.25">
      <c r="C94" s="40"/>
      <c r="D94" s="41"/>
      <c r="E94" s="41"/>
      <c r="F94" s="40"/>
      <c r="G94" s="40"/>
    </row>
    <row r="95" spans="3:11" ht="15.75" customHeight="1" x14ac:dyDescent="0.25">
      <c r="C95" s="40"/>
      <c r="D95" s="41"/>
      <c r="E95" s="41"/>
      <c r="F95" s="40"/>
      <c r="G95" s="40"/>
    </row>
    <row r="96" spans="3:11" ht="15.75" customHeight="1" x14ac:dyDescent="0.25">
      <c r="C96" s="40"/>
      <c r="D96" s="41"/>
      <c r="E96" s="41"/>
      <c r="F96" s="40"/>
      <c r="G96" s="40"/>
    </row>
    <row r="97" spans="3:7" ht="15.75" customHeight="1" x14ac:dyDescent="0.25">
      <c r="C97" s="40"/>
      <c r="D97" s="41"/>
      <c r="E97" s="41"/>
      <c r="F97" s="40"/>
      <c r="G97" s="40"/>
    </row>
    <row r="98" spans="3:7" ht="15.75" customHeight="1" x14ac:dyDescent="0.25">
      <c r="C98" s="40"/>
      <c r="D98" s="41"/>
      <c r="E98" s="41"/>
      <c r="F98" s="40"/>
      <c r="G98" s="40"/>
    </row>
    <row r="99" spans="3:7" ht="15.75" customHeight="1" x14ac:dyDescent="0.25">
      <c r="C99" s="40"/>
      <c r="D99" s="41"/>
      <c r="E99" s="41"/>
      <c r="F99" s="40"/>
      <c r="G99" s="40"/>
    </row>
    <row r="100" spans="3:7" ht="15.75" customHeight="1" x14ac:dyDescent="0.25">
      <c r="C100" s="40"/>
      <c r="D100" s="41"/>
      <c r="E100" s="41"/>
      <c r="F100" s="40"/>
      <c r="G100" s="40"/>
    </row>
    <row r="101" spans="3:7" ht="15.75" customHeight="1" x14ac:dyDescent="0.25">
      <c r="C101" s="40"/>
      <c r="D101" s="41"/>
      <c r="E101" s="41"/>
      <c r="F101" s="40"/>
      <c r="G101" s="40"/>
    </row>
    <row r="102" spans="3:7" ht="15.75" customHeight="1" x14ac:dyDescent="0.25">
      <c r="C102" s="40"/>
      <c r="D102" s="41"/>
      <c r="E102" s="41"/>
      <c r="F102" s="40"/>
      <c r="G102" s="40"/>
    </row>
    <row r="103" spans="3:7" ht="15.75" customHeight="1" x14ac:dyDescent="0.25">
      <c r="C103" s="40"/>
      <c r="D103" s="41"/>
      <c r="E103" s="41"/>
      <c r="F103" s="40"/>
      <c r="G103" s="40"/>
    </row>
    <row r="104" spans="3:7" ht="15.75" customHeight="1" x14ac:dyDescent="0.25">
      <c r="C104" s="40"/>
      <c r="D104" s="41"/>
      <c r="E104" s="41"/>
      <c r="F104" s="40"/>
      <c r="G104" s="40"/>
    </row>
    <row r="105" spans="3:7" ht="15.75" customHeight="1" x14ac:dyDescent="0.25">
      <c r="C105" s="40"/>
      <c r="D105" s="41"/>
      <c r="E105" s="41"/>
      <c r="F105" s="40"/>
      <c r="G105" s="40"/>
    </row>
    <row r="106" spans="3:7" ht="15.75" customHeight="1" x14ac:dyDescent="0.25">
      <c r="C106" s="40"/>
      <c r="D106" s="41"/>
      <c r="E106" s="41"/>
      <c r="F106" s="40"/>
      <c r="G106" s="40"/>
    </row>
    <row r="107" spans="3:7" ht="15.75" customHeight="1" x14ac:dyDescent="0.25">
      <c r="C107" s="40"/>
      <c r="D107" s="41"/>
      <c r="E107" s="41"/>
      <c r="F107" s="40"/>
      <c r="G107" s="40"/>
    </row>
    <row r="108" spans="3:7" ht="15.75" customHeight="1" x14ac:dyDescent="0.25">
      <c r="C108" s="40"/>
      <c r="D108" s="41"/>
      <c r="E108" s="41"/>
      <c r="F108" s="40"/>
      <c r="G108" s="40"/>
    </row>
    <row r="109" spans="3:7" ht="15.75" customHeight="1" x14ac:dyDescent="0.25">
      <c r="C109" s="40"/>
      <c r="D109" s="41"/>
      <c r="E109" s="41"/>
      <c r="F109" s="40"/>
      <c r="G109" s="40"/>
    </row>
    <row r="110" spans="3:7" ht="15.75" customHeight="1" x14ac:dyDescent="0.25">
      <c r="C110" s="40"/>
      <c r="D110" s="41"/>
      <c r="E110" s="41"/>
      <c r="F110" s="40"/>
      <c r="G110" s="40"/>
    </row>
    <row r="111" spans="3:7" ht="15.75" customHeight="1" x14ac:dyDescent="0.25">
      <c r="C111" s="40"/>
      <c r="D111" s="41"/>
      <c r="E111" s="41"/>
      <c r="F111" s="40"/>
      <c r="G111" s="40"/>
    </row>
    <row r="112" spans="3:7" ht="15.75" customHeight="1" x14ac:dyDescent="0.25">
      <c r="C112" s="40"/>
      <c r="D112" s="41"/>
      <c r="E112" s="41"/>
      <c r="F112" s="40"/>
      <c r="G112" s="40"/>
    </row>
    <row r="113" spans="3:7" ht="15.75" customHeight="1" x14ac:dyDescent="0.25">
      <c r="C113" s="40"/>
      <c r="D113" s="41"/>
      <c r="E113" s="41"/>
      <c r="F113" s="40"/>
      <c r="G113" s="40"/>
    </row>
    <row r="114" spans="3:7" ht="15.75" customHeight="1" x14ac:dyDescent="0.25">
      <c r="C114" s="40"/>
      <c r="D114" s="41"/>
      <c r="E114" s="41"/>
      <c r="F114" s="40"/>
      <c r="G114" s="40"/>
    </row>
    <row r="115" spans="3:7" ht="15.75" customHeight="1" x14ac:dyDescent="0.25">
      <c r="C115" s="40"/>
      <c r="D115" s="41"/>
      <c r="E115" s="41"/>
      <c r="F115" s="40"/>
      <c r="G115" s="40"/>
    </row>
    <row r="116" spans="3:7" ht="15.75" customHeight="1" x14ac:dyDescent="0.25">
      <c r="C116" s="40"/>
      <c r="D116" s="41"/>
      <c r="E116" s="41"/>
      <c r="F116" s="40"/>
      <c r="G116" s="40"/>
    </row>
    <row r="117" spans="3:7" ht="15.75" customHeight="1" x14ac:dyDescent="0.25">
      <c r="C117" s="40"/>
      <c r="D117" s="41"/>
      <c r="E117" s="41"/>
      <c r="F117" s="40"/>
      <c r="G117" s="40"/>
    </row>
    <row r="118" spans="3:7" ht="15.75" customHeight="1" x14ac:dyDescent="0.25">
      <c r="C118" s="40"/>
      <c r="D118" s="41"/>
      <c r="E118" s="41"/>
      <c r="F118" s="40"/>
      <c r="G118" s="40"/>
    </row>
    <row r="119" spans="3:7" ht="15.75" customHeight="1" x14ac:dyDescent="0.25">
      <c r="C119" s="40"/>
      <c r="D119" s="41"/>
      <c r="E119" s="41"/>
      <c r="F119" s="40"/>
      <c r="G119" s="40"/>
    </row>
    <row r="120" spans="3:7" ht="15.75" customHeight="1" x14ac:dyDescent="0.25">
      <c r="C120" s="40"/>
      <c r="D120" s="41"/>
      <c r="E120" s="41"/>
      <c r="F120" s="40"/>
      <c r="G120" s="40"/>
    </row>
    <row r="121" spans="3:7" ht="15.75" customHeight="1" x14ac:dyDescent="0.25">
      <c r="C121" s="40"/>
      <c r="D121" s="41"/>
      <c r="E121" s="41"/>
      <c r="F121" s="40"/>
      <c r="G121" s="40"/>
    </row>
    <row r="122" spans="3:7" ht="15.75" customHeight="1" x14ac:dyDescent="0.25">
      <c r="C122" s="40"/>
      <c r="D122" s="41"/>
      <c r="E122" s="41"/>
      <c r="F122" s="40"/>
      <c r="G122" s="40"/>
    </row>
    <row r="123" spans="3:7" ht="15.75" customHeight="1" x14ac:dyDescent="0.25">
      <c r="C123" s="40"/>
      <c r="D123" s="41"/>
      <c r="E123" s="41"/>
      <c r="F123" s="40"/>
      <c r="G123" s="40"/>
    </row>
    <row r="124" spans="3:7" ht="15.75" customHeight="1" x14ac:dyDescent="0.25">
      <c r="C124" s="40"/>
      <c r="D124" s="41"/>
      <c r="E124" s="41"/>
      <c r="F124" s="40"/>
      <c r="G124" s="40"/>
    </row>
    <row r="125" spans="3:7" ht="15.75" customHeight="1" x14ac:dyDescent="0.25">
      <c r="C125" s="40"/>
      <c r="D125" s="41"/>
      <c r="E125" s="41"/>
      <c r="F125" s="40"/>
      <c r="G125" s="40"/>
    </row>
    <row r="126" spans="3:7" ht="15.75" customHeight="1" x14ac:dyDescent="0.25">
      <c r="C126" s="40"/>
      <c r="D126" s="41"/>
      <c r="E126" s="41"/>
      <c r="F126" s="40"/>
      <c r="G126" s="40"/>
    </row>
    <row r="127" spans="3:7" ht="15.75" customHeight="1" x14ac:dyDescent="0.25">
      <c r="C127" s="40"/>
      <c r="D127" s="41"/>
      <c r="E127" s="41"/>
      <c r="F127" s="40"/>
      <c r="G127" s="40"/>
    </row>
    <row r="128" spans="3:7" ht="15.75" customHeight="1" x14ac:dyDescent="0.25">
      <c r="C128" s="40"/>
      <c r="D128" s="41"/>
      <c r="E128" s="41"/>
      <c r="F128" s="40"/>
      <c r="G128" s="40"/>
    </row>
    <row r="129" spans="3:7" ht="15.75" customHeight="1" x14ac:dyDescent="0.25">
      <c r="C129" s="40"/>
      <c r="D129" s="41"/>
      <c r="E129" s="41"/>
      <c r="F129" s="40"/>
      <c r="G129" s="40"/>
    </row>
    <row r="130" spans="3:7" ht="15.75" customHeight="1" x14ac:dyDescent="0.25">
      <c r="C130" s="40"/>
      <c r="D130" s="41"/>
      <c r="E130" s="41"/>
      <c r="F130" s="40"/>
      <c r="G130" s="40"/>
    </row>
    <row r="131" spans="3:7" ht="15.75" customHeight="1" x14ac:dyDescent="0.25">
      <c r="C131" s="40"/>
      <c r="D131" s="41"/>
      <c r="E131" s="41"/>
      <c r="F131" s="40"/>
      <c r="G131" s="40"/>
    </row>
    <row r="132" spans="3:7" ht="15.75" customHeight="1" x14ac:dyDescent="0.25">
      <c r="C132" s="40"/>
      <c r="D132" s="41"/>
      <c r="E132" s="41"/>
      <c r="F132" s="40"/>
      <c r="G132" s="40"/>
    </row>
    <row r="133" spans="3:7" ht="15.75" customHeight="1" x14ac:dyDescent="0.25">
      <c r="C133" s="40"/>
      <c r="D133" s="41"/>
      <c r="E133" s="41"/>
      <c r="F133" s="40"/>
      <c r="G133" s="40"/>
    </row>
    <row r="134" spans="3:7" ht="15.75" customHeight="1" x14ac:dyDescent="0.25">
      <c r="C134" s="40"/>
      <c r="D134" s="41"/>
      <c r="E134" s="41"/>
      <c r="F134" s="40"/>
      <c r="G134" s="40"/>
    </row>
    <row r="135" spans="3:7" ht="15.75" customHeight="1" x14ac:dyDescent="0.25">
      <c r="C135" s="40"/>
      <c r="D135" s="41"/>
      <c r="E135" s="41"/>
      <c r="F135" s="40"/>
      <c r="G135" s="40"/>
    </row>
    <row r="136" spans="3:7" ht="15.75" customHeight="1" x14ac:dyDescent="0.25">
      <c r="C136" s="40"/>
      <c r="D136" s="41"/>
      <c r="E136" s="41"/>
      <c r="F136" s="40"/>
      <c r="G136" s="40"/>
    </row>
    <row r="137" spans="3:7" ht="15.75" customHeight="1" x14ac:dyDescent="0.25">
      <c r="C137" s="40"/>
      <c r="D137" s="41"/>
      <c r="E137" s="41"/>
      <c r="F137" s="40"/>
      <c r="G137" s="40"/>
    </row>
    <row r="138" spans="3:7" ht="15.75" customHeight="1" x14ac:dyDescent="0.25">
      <c r="C138" s="40"/>
      <c r="D138" s="41"/>
      <c r="E138" s="41"/>
      <c r="F138" s="40"/>
      <c r="G138" s="40"/>
    </row>
    <row r="139" spans="3:7" ht="15.75" customHeight="1" x14ac:dyDescent="0.25">
      <c r="C139" s="40"/>
      <c r="D139" s="41"/>
      <c r="E139" s="41"/>
      <c r="F139" s="40"/>
      <c r="G139" s="40"/>
    </row>
    <row r="140" spans="3:7" ht="15.75" customHeight="1" x14ac:dyDescent="0.25">
      <c r="C140" s="40"/>
      <c r="D140" s="41"/>
      <c r="E140" s="41"/>
      <c r="F140" s="40"/>
      <c r="G140" s="40"/>
    </row>
    <row r="141" spans="3:7" ht="15.75" customHeight="1" x14ac:dyDescent="0.25">
      <c r="C141" s="40"/>
      <c r="D141" s="41"/>
      <c r="E141" s="41"/>
      <c r="F141" s="40"/>
      <c r="G141" s="40"/>
    </row>
    <row r="142" spans="3:7" ht="15.75" customHeight="1" x14ac:dyDescent="0.25">
      <c r="C142" s="40"/>
      <c r="D142" s="41"/>
      <c r="E142" s="41"/>
      <c r="F142" s="40"/>
      <c r="G142" s="40"/>
    </row>
    <row r="143" spans="3:7" ht="15.75" customHeight="1" x14ac:dyDescent="0.25">
      <c r="C143" s="40"/>
      <c r="D143" s="41"/>
      <c r="E143" s="41"/>
      <c r="F143" s="40"/>
      <c r="G143" s="40"/>
    </row>
    <row r="144" spans="3:7" ht="15.75" customHeight="1" x14ac:dyDescent="0.25">
      <c r="C144" s="40"/>
      <c r="D144" s="41"/>
      <c r="E144" s="41"/>
      <c r="F144" s="40"/>
      <c r="G144" s="40"/>
    </row>
    <row r="145" spans="3:7" ht="15.75" customHeight="1" x14ac:dyDescent="0.25">
      <c r="C145" s="40"/>
      <c r="D145" s="41"/>
      <c r="E145" s="41"/>
      <c r="F145" s="40"/>
      <c r="G145" s="40"/>
    </row>
    <row r="146" spans="3:7" ht="15.75" customHeight="1" x14ac:dyDescent="0.25">
      <c r="C146" s="40"/>
      <c r="D146" s="41"/>
      <c r="E146" s="41"/>
      <c r="F146" s="40"/>
      <c r="G146" s="40"/>
    </row>
    <row r="147" spans="3:7" ht="15.75" customHeight="1" x14ac:dyDescent="0.25">
      <c r="C147" s="40"/>
      <c r="D147" s="41"/>
      <c r="E147" s="41"/>
      <c r="F147" s="40"/>
      <c r="G147" s="40"/>
    </row>
    <row r="148" spans="3:7" ht="15.75" customHeight="1" x14ac:dyDescent="0.25">
      <c r="C148" s="40"/>
      <c r="D148" s="41"/>
      <c r="E148" s="41"/>
      <c r="F148" s="40"/>
      <c r="G148" s="40"/>
    </row>
    <row r="149" spans="3:7" ht="15.75" customHeight="1" x14ac:dyDescent="0.25">
      <c r="C149" s="40"/>
      <c r="D149" s="41"/>
      <c r="E149" s="41"/>
      <c r="F149" s="40"/>
      <c r="G149" s="40"/>
    </row>
    <row r="150" spans="3:7" ht="15.75" customHeight="1" x14ac:dyDescent="0.25">
      <c r="C150" s="40"/>
      <c r="D150" s="41"/>
      <c r="E150" s="41"/>
      <c r="F150" s="40"/>
      <c r="G150" s="40"/>
    </row>
    <row r="151" spans="3:7" ht="15.75" customHeight="1" x14ac:dyDescent="0.25">
      <c r="C151" s="40"/>
      <c r="D151" s="41"/>
      <c r="E151" s="41"/>
      <c r="F151" s="40"/>
      <c r="G151" s="40"/>
    </row>
    <row r="152" spans="3:7" ht="15.75" customHeight="1" x14ac:dyDescent="0.25">
      <c r="C152" s="40"/>
      <c r="D152" s="41"/>
      <c r="E152" s="41"/>
      <c r="F152" s="40"/>
      <c r="G152" s="40"/>
    </row>
    <row r="153" spans="3:7" ht="15.75" customHeight="1" x14ac:dyDescent="0.25">
      <c r="C153" s="40"/>
      <c r="D153" s="41"/>
      <c r="E153" s="41"/>
      <c r="F153" s="40"/>
      <c r="G153" s="40"/>
    </row>
    <row r="154" spans="3:7" ht="15.75" customHeight="1" x14ac:dyDescent="0.25">
      <c r="C154" s="40"/>
      <c r="D154" s="41"/>
      <c r="E154" s="41"/>
      <c r="F154" s="40"/>
      <c r="G154" s="40"/>
    </row>
    <row r="155" spans="3:7" ht="15.75" customHeight="1" x14ac:dyDescent="0.25">
      <c r="C155" s="40"/>
      <c r="D155" s="41"/>
      <c r="E155" s="41"/>
      <c r="F155" s="40"/>
      <c r="G155" s="40"/>
    </row>
    <row r="156" spans="3:7" ht="15.75" customHeight="1" x14ac:dyDescent="0.25">
      <c r="C156" s="40"/>
      <c r="D156" s="41"/>
      <c r="E156" s="41"/>
      <c r="F156" s="40"/>
      <c r="G156" s="40"/>
    </row>
    <row r="157" spans="3:7" ht="15.75" customHeight="1" x14ac:dyDescent="0.25">
      <c r="C157" s="40"/>
      <c r="D157" s="41"/>
      <c r="E157" s="41"/>
      <c r="F157" s="40"/>
      <c r="G157" s="40"/>
    </row>
    <row r="158" spans="3:7" ht="15.75" customHeight="1" x14ac:dyDescent="0.25">
      <c r="C158" s="40"/>
      <c r="D158" s="41"/>
      <c r="E158" s="41"/>
      <c r="F158" s="40"/>
      <c r="G158" s="40"/>
    </row>
    <row r="159" spans="3:7" ht="15.75" customHeight="1" x14ac:dyDescent="0.25">
      <c r="C159" s="40"/>
      <c r="D159" s="41"/>
      <c r="E159" s="41"/>
      <c r="F159" s="40"/>
      <c r="G159" s="40"/>
    </row>
    <row r="160" spans="3:7" ht="15.75" customHeight="1" x14ac:dyDescent="0.25">
      <c r="C160" s="40"/>
      <c r="D160" s="41"/>
      <c r="E160" s="41"/>
      <c r="F160" s="40"/>
      <c r="G160" s="40"/>
    </row>
    <row r="161" spans="3:7" ht="15.75" customHeight="1" x14ac:dyDescent="0.25">
      <c r="C161" s="40"/>
      <c r="D161" s="41"/>
      <c r="E161" s="41"/>
      <c r="F161" s="40"/>
      <c r="G161" s="40"/>
    </row>
    <row r="162" spans="3:7" ht="15.75" customHeight="1" x14ac:dyDescent="0.25">
      <c r="C162" s="40"/>
      <c r="D162" s="41"/>
      <c r="E162" s="41"/>
      <c r="F162" s="40"/>
      <c r="G162" s="40"/>
    </row>
    <row r="163" spans="3:7" ht="15.75" customHeight="1" x14ac:dyDescent="0.25">
      <c r="C163" s="40"/>
      <c r="D163" s="41"/>
      <c r="E163" s="41"/>
      <c r="F163" s="40"/>
      <c r="G163" s="40"/>
    </row>
    <row r="164" spans="3:7" ht="15.75" customHeight="1" x14ac:dyDescent="0.25">
      <c r="C164" s="40"/>
      <c r="D164" s="41"/>
      <c r="E164" s="41"/>
      <c r="F164" s="40"/>
      <c r="G164" s="40"/>
    </row>
    <row r="165" spans="3:7" ht="15.75" customHeight="1" x14ac:dyDescent="0.25">
      <c r="C165" s="40"/>
      <c r="D165" s="41"/>
      <c r="E165" s="41"/>
      <c r="F165" s="40"/>
      <c r="G165" s="40"/>
    </row>
    <row r="166" spans="3:7" ht="15.75" customHeight="1" x14ac:dyDescent="0.25">
      <c r="C166" s="40"/>
      <c r="D166" s="41"/>
      <c r="E166" s="41"/>
      <c r="F166" s="40"/>
      <c r="G166" s="40"/>
    </row>
    <row r="167" spans="3:7" ht="15.75" customHeight="1" x14ac:dyDescent="0.25">
      <c r="C167" s="40"/>
      <c r="D167" s="41"/>
      <c r="E167" s="41"/>
      <c r="F167" s="40"/>
      <c r="G167" s="40"/>
    </row>
    <row r="168" spans="3:7" ht="15.75" customHeight="1" x14ac:dyDescent="0.25">
      <c r="C168" s="40"/>
      <c r="D168" s="41"/>
      <c r="E168" s="41"/>
      <c r="F168" s="40"/>
      <c r="G168" s="40"/>
    </row>
    <row r="169" spans="3:7" ht="15.75" customHeight="1" x14ac:dyDescent="0.25">
      <c r="C169" s="40"/>
      <c r="D169" s="41"/>
      <c r="E169" s="41"/>
      <c r="F169" s="40"/>
      <c r="G169" s="40"/>
    </row>
    <row r="170" spans="3:7" ht="15.75" customHeight="1" x14ac:dyDescent="0.25">
      <c r="C170" s="40"/>
      <c r="D170" s="41"/>
      <c r="E170" s="41"/>
      <c r="F170" s="40"/>
      <c r="G170" s="40"/>
    </row>
    <row r="171" spans="3:7" ht="15.75" customHeight="1" x14ac:dyDescent="0.25">
      <c r="C171" s="40"/>
      <c r="D171" s="41"/>
      <c r="E171" s="41"/>
      <c r="F171" s="40"/>
      <c r="G171" s="40"/>
    </row>
    <row r="172" spans="3:7" ht="15.75" customHeight="1" x14ac:dyDescent="0.25">
      <c r="C172" s="40"/>
      <c r="D172" s="41"/>
      <c r="E172" s="41"/>
      <c r="F172" s="40"/>
      <c r="G172" s="40"/>
    </row>
    <row r="173" spans="3:7" ht="15.75" customHeight="1" x14ac:dyDescent="0.25">
      <c r="C173" s="40"/>
      <c r="D173" s="41"/>
      <c r="E173" s="41"/>
      <c r="F173" s="40"/>
      <c r="G173" s="40"/>
    </row>
    <row r="174" spans="3:7" ht="15.75" customHeight="1" x14ac:dyDescent="0.25">
      <c r="C174" s="40"/>
      <c r="D174" s="41"/>
      <c r="E174" s="41"/>
      <c r="F174" s="40"/>
      <c r="G174" s="40"/>
    </row>
    <row r="175" spans="3:7" ht="15.75" customHeight="1" x14ac:dyDescent="0.25">
      <c r="C175" s="40"/>
      <c r="D175" s="41"/>
      <c r="E175" s="41"/>
      <c r="F175" s="40"/>
      <c r="G175" s="40"/>
    </row>
    <row r="176" spans="3:7" ht="15.75" customHeight="1" x14ac:dyDescent="0.25">
      <c r="C176" s="40"/>
      <c r="D176" s="41"/>
      <c r="E176" s="41"/>
      <c r="F176" s="40"/>
      <c r="G176" s="40"/>
    </row>
    <row r="177" spans="3:7" ht="15.75" customHeight="1" x14ac:dyDescent="0.25">
      <c r="C177" s="40"/>
      <c r="D177" s="41"/>
      <c r="E177" s="41"/>
      <c r="F177" s="40"/>
      <c r="G177" s="40"/>
    </row>
    <row r="178" spans="3:7" ht="15.75" customHeight="1" x14ac:dyDescent="0.25">
      <c r="C178" s="40"/>
      <c r="D178" s="41"/>
      <c r="E178" s="41"/>
      <c r="F178" s="40"/>
      <c r="G178" s="40"/>
    </row>
    <row r="179" spans="3:7" ht="15.75" customHeight="1" x14ac:dyDescent="0.25">
      <c r="C179" s="40"/>
      <c r="D179" s="41"/>
      <c r="E179" s="41"/>
      <c r="F179" s="40"/>
      <c r="G179" s="40"/>
    </row>
    <row r="180" spans="3:7" ht="15.75" customHeight="1" x14ac:dyDescent="0.25">
      <c r="C180" s="40"/>
      <c r="D180" s="41"/>
      <c r="E180" s="41"/>
      <c r="F180" s="40"/>
      <c r="G180" s="40"/>
    </row>
    <row r="181" spans="3:7" ht="15.75" customHeight="1" x14ac:dyDescent="0.25">
      <c r="C181" s="40"/>
      <c r="D181" s="41"/>
      <c r="E181" s="41"/>
      <c r="F181" s="40"/>
      <c r="G181" s="40"/>
    </row>
    <row r="182" spans="3:7" ht="15.75" customHeight="1" x14ac:dyDescent="0.25">
      <c r="C182" s="40"/>
      <c r="D182" s="41"/>
      <c r="E182" s="41"/>
      <c r="F182" s="40"/>
      <c r="G182" s="40"/>
    </row>
    <row r="183" spans="3:7" ht="15.75" customHeight="1" x14ac:dyDescent="0.25">
      <c r="C183" s="40"/>
      <c r="D183" s="41"/>
      <c r="E183" s="41"/>
      <c r="F183" s="40"/>
      <c r="G183" s="40"/>
    </row>
    <row r="184" spans="3:7" ht="15.75" customHeight="1" x14ac:dyDescent="0.25">
      <c r="C184" s="40"/>
      <c r="D184" s="41"/>
      <c r="E184" s="41"/>
      <c r="F184" s="40"/>
      <c r="G184" s="40"/>
    </row>
    <row r="185" spans="3:7" ht="15.75" customHeight="1" x14ac:dyDescent="0.25">
      <c r="C185" s="40"/>
      <c r="D185" s="41"/>
      <c r="E185" s="41"/>
      <c r="F185" s="40"/>
      <c r="G185" s="40"/>
    </row>
    <row r="186" spans="3:7" ht="15.75" customHeight="1" x14ac:dyDescent="0.25">
      <c r="C186" s="40"/>
      <c r="D186" s="41"/>
      <c r="E186" s="41"/>
      <c r="F186" s="40"/>
      <c r="G186" s="40"/>
    </row>
    <row r="187" spans="3:7" ht="15.75" customHeight="1" x14ac:dyDescent="0.25">
      <c r="C187" s="40"/>
      <c r="D187" s="41"/>
      <c r="E187" s="41"/>
      <c r="F187" s="40"/>
      <c r="G187" s="40"/>
    </row>
    <row r="188" spans="3:7" ht="15.75" customHeight="1" x14ac:dyDescent="0.25">
      <c r="C188" s="40"/>
      <c r="D188" s="41"/>
      <c r="E188" s="41"/>
      <c r="F188" s="40"/>
      <c r="G188" s="40"/>
    </row>
    <row r="189" spans="3:7" ht="15.75" customHeight="1" x14ac:dyDescent="0.25">
      <c r="C189" s="40"/>
      <c r="D189" s="41"/>
      <c r="E189" s="41"/>
      <c r="F189" s="40"/>
      <c r="G189" s="40"/>
    </row>
    <row r="190" spans="3:7" ht="15.75" customHeight="1" x14ac:dyDescent="0.25">
      <c r="C190" s="40"/>
      <c r="D190" s="41"/>
      <c r="E190" s="41"/>
      <c r="F190" s="40"/>
      <c r="G190" s="40"/>
    </row>
    <row r="191" spans="3:7" ht="15.75" customHeight="1" x14ac:dyDescent="0.25">
      <c r="C191" s="40"/>
      <c r="D191" s="41"/>
      <c r="E191" s="41"/>
      <c r="F191" s="40"/>
      <c r="G191" s="40"/>
    </row>
    <row r="192" spans="3:7" ht="15.75" customHeight="1" x14ac:dyDescent="0.25">
      <c r="C192" s="40"/>
      <c r="D192" s="41"/>
      <c r="E192" s="41"/>
      <c r="F192" s="40"/>
      <c r="G192" s="40"/>
    </row>
    <row r="193" spans="3:7" ht="15.75" customHeight="1" x14ac:dyDescent="0.25">
      <c r="C193" s="40"/>
      <c r="D193" s="41"/>
      <c r="E193" s="41"/>
      <c r="F193" s="40"/>
      <c r="G193" s="40"/>
    </row>
    <row r="194" spans="3:7" ht="15.75" customHeight="1" x14ac:dyDescent="0.25">
      <c r="C194" s="40"/>
      <c r="D194" s="41"/>
      <c r="E194" s="41"/>
      <c r="F194" s="40"/>
      <c r="G194" s="40"/>
    </row>
    <row r="195" spans="3:7" ht="15.75" customHeight="1" x14ac:dyDescent="0.25">
      <c r="C195" s="40"/>
      <c r="D195" s="41"/>
      <c r="E195" s="41"/>
      <c r="F195" s="40"/>
      <c r="G195" s="40"/>
    </row>
    <row r="196" spans="3:7" ht="15.75" customHeight="1" x14ac:dyDescent="0.25">
      <c r="C196" s="40"/>
      <c r="D196" s="41"/>
      <c r="E196" s="41"/>
      <c r="F196" s="40"/>
      <c r="G196" s="40"/>
    </row>
    <row r="197" spans="3:7" ht="15.75" customHeight="1" x14ac:dyDescent="0.25">
      <c r="C197" s="40"/>
      <c r="D197" s="41"/>
      <c r="E197" s="41"/>
      <c r="F197" s="40"/>
      <c r="G197" s="40"/>
    </row>
    <row r="198" spans="3:7" ht="15.75" customHeight="1" x14ac:dyDescent="0.25">
      <c r="C198" s="40"/>
      <c r="D198" s="41"/>
      <c r="E198" s="41"/>
      <c r="F198" s="40"/>
      <c r="G198" s="40"/>
    </row>
    <row r="199" spans="3:7" ht="15.75" customHeight="1" x14ac:dyDescent="0.25">
      <c r="C199" s="40"/>
      <c r="D199" s="41"/>
      <c r="E199" s="41"/>
      <c r="F199" s="40"/>
      <c r="G199" s="40"/>
    </row>
    <row r="200" spans="3:7" ht="15.75" customHeight="1" x14ac:dyDescent="0.25">
      <c r="C200" s="40"/>
      <c r="D200" s="41"/>
      <c r="E200" s="41"/>
      <c r="F200" s="40"/>
      <c r="G200" s="40"/>
    </row>
    <row r="201" spans="3:7" ht="15.75" customHeight="1" x14ac:dyDescent="0.25">
      <c r="C201" s="40"/>
      <c r="D201" s="41"/>
      <c r="E201" s="41"/>
      <c r="F201" s="40"/>
      <c r="G201" s="40"/>
    </row>
    <row r="202" spans="3:7" ht="15.75" customHeight="1" x14ac:dyDescent="0.25">
      <c r="C202" s="40"/>
      <c r="D202" s="41"/>
      <c r="E202" s="41"/>
      <c r="F202" s="40"/>
      <c r="G202" s="40"/>
    </row>
    <row r="203" spans="3:7" ht="15.75" customHeight="1" x14ac:dyDescent="0.25">
      <c r="C203" s="40"/>
      <c r="D203" s="41"/>
      <c r="E203" s="41"/>
      <c r="F203" s="40"/>
      <c r="G203" s="40"/>
    </row>
    <row r="204" spans="3:7" ht="15.75" customHeight="1" x14ac:dyDescent="0.25">
      <c r="C204" s="40"/>
      <c r="D204" s="41"/>
      <c r="E204" s="41"/>
      <c r="F204" s="40"/>
      <c r="G204" s="40"/>
    </row>
    <row r="205" spans="3:7" ht="15.75" customHeight="1" x14ac:dyDescent="0.25">
      <c r="C205" s="40"/>
      <c r="D205" s="41"/>
      <c r="E205" s="41"/>
      <c r="F205" s="40"/>
      <c r="G205" s="40"/>
    </row>
    <row r="206" spans="3:7" ht="15.75" customHeight="1" x14ac:dyDescent="0.25">
      <c r="C206" s="40"/>
      <c r="D206" s="41"/>
      <c r="E206" s="41"/>
      <c r="F206" s="40"/>
      <c r="G206" s="40"/>
    </row>
    <row r="207" spans="3:7" ht="15.75" customHeight="1" x14ac:dyDescent="0.25">
      <c r="C207" s="40"/>
      <c r="D207" s="41"/>
      <c r="E207" s="41"/>
      <c r="F207" s="40"/>
      <c r="G207" s="40"/>
    </row>
    <row r="208" spans="3:7" ht="15.75" customHeight="1" x14ac:dyDescent="0.25">
      <c r="C208" s="40"/>
      <c r="D208" s="41"/>
      <c r="E208" s="41"/>
      <c r="F208" s="40"/>
      <c r="G208" s="40"/>
    </row>
    <row r="209" spans="3:7" ht="15.75" customHeight="1" x14ac:dyDescent="0.25">
      <c r="C209" s="40"/>
      <c r="D209" s="41"/>
      <c r="E209" s="41"/>
      <c r="F209" s="40"/>
      <c r="G209" s="40"/>
    </row>
    <row r="210" spans="3:7" ht="15.75" customHeight="1" x14ac:dyDescent="0.25">
      <c r="C210" s="40"/>
      <c r="D210" s="41"/>
      <c r="E210" s="41"/>
      <c r="F210" s="40"/>
      <c r="G210" s="40"/>
    </row>
    <row r="211" spans="3:7" ht="15.75" customHeight="1" x14ac:dyDescent="0.25">
      <c r="C211" s="40"/>
      <c r="D211" s="41"/>
      <c r="E211" s="41"/>
      <c r="F211" s="40"/>
      <c r="G211" s="40"/>
    </row>
    <row r="212" spans="3:7" ht="15.75" customHeight="1" x14ac:dyDescent="0.25">
      <c r="C212" s="40"/>
      <c r="D212" s="41"/>
      <c r="E212" s="41"/>
      <c r="F212" s="40"/>
      <c r="G212" s="40"/>
    </row>
    <row r="213" spans="3:7" ht="15.75" customHeight="1" x14ac:dyDescent="0.25">
      <c r="C213" s="40"/>
      <c r="D213" s="41"/>
      <c r="E213" s="41"/>
      <c r="F213" s="40"/>
      <c r="G213" s="40"/>
    </row>
    <row r="214" spans="3:7" ht="15.75" customHeight="1" x14ac:dyDescent="0.25">
      <c r="C214" s="40"/>
      <c r="D214" s="41"/>
      <c r="E214" s="41"/>
      <c r="F214" s="40"/>
      <c r="G214" s="40"/>
    </row>
    <row r="215" spans="3:7" ht="15.75" customHeight="1" x14ac:dyDescent="0.25">
      <c r="C215" s="40"/>
      <c r="D215" s="41"/>
      <c r="E215" s="41"/>
      <c r="F215" s="40"/>
      <c r="G215" s="40"/>
    </row>
    <row r="216" spans="3:7" ht="15.75" customHeight="1" x14ac:dyDescent="0.25">
      <c r="C216" s="40"/>
      <c r="D216" s="41"/>
      <c r="E216" s="41"/>
      <c r="F216" s="40"/>
      <c r="G216" s="40"/>
    </row>
    <row r="217" spans="3:7" ht="15.75" customHeight="1" x14ac:dyDescent="0.25">
      <c r="C217" s="40"/>
      <c r="D217" s="41"/>
      <c r="E217" s="41"/>
      <c r="F217" s="40"/>
      <c r="G217" s="40"/>
    </row>
    <row r="218" spans="3:7" ht="15.75" customHeight="1" x14ac:dyDescent="0.25">
      <c r="C218" s="40"/>
      <c r="D218" s="41"/>
      <c r="E218" s="41"/>
      <c r="F218" s="40"/>
      <c r="G218" s="40"/>
    </row>
    <row r="219" spans="3:7" ht="15.75" customHeight="1" x14ac:dyDescent="0.25">
      <c r="C219" s="40"/>
      <c r="D219" s="41"/>
      <c r="E219" s="41"/>
      <c r="F219" s="40"/>
      <c r="G219" s="40"/>
    </row>
    <row r="220" spans="3:7" ht="15.75" customHeight="1" x14ac:dyDescent="0.25">
      <c r="C220" s="40"/>
      <c r="D220" s="41"/>
      <c r="E220" s="41"/>
      <c r="F220" s="40"/>
      <c r="G220" s="40"/>
    </row>
    <row r="221" spans="3:7" ht="15.75" customHeight="1" x14ac:dyDescent="0.25">
      <c r="C221" s="40"/>
      <c r="D221" s="41"/>
      <c r="E221" s="41"/>
      <c r="F221" s="40"/>
      <c r="G221" s="40"/>
    </row>
    <row r="222" spans="3:7" ht="15.75" customHeight="1" x14ac:dyDescent="0.25">
      <c r="C222" s="40"/>
      <c r="D222" s="41"/>
      <c r="E222" s="41"/>
      <c r="F222" s="40"/>
      <c r="G222" s="40"/>
    </row>
    <row r="223" spans="3:7" ht="15.75" customHeight="1" x14ac:dyDescent="0.25">
      <c r="C223" s="40"/>
      <c r="D223" s="41"/>
      <c r="E223" s="41"/>
      <c r="F223" s="40"/>
      <c r="G223" s="40"/>
    </row>
    <row r="224" spans="3:7" ht="15.75" customHeight="1" x14ac:dyDescent="0.25">
      <c r="C224" s="40"/>
      <c r="D224" s="41"/>
      <c r="E224" s="41"/>
      <c r="F224" s="40"/>
      <c r="G224" s="40"/>
    </row>
    <row r="225" spans="3:7" ht="15.75" customHeight="1" x14ac:dyDescent="0.25">
      <c r="C225" s="40"/>
      <c r="D225" s="41"/>
      <c r="E225" s="41"/>
      <c r="F225" s="40"/>
      <c r="G225" s="40"/>
    </row>
    <row r="226" spans="3:7" ht="15.75" customHeight="1" x14ac:dyDescent="0.25">
      <c r="C226" s="40"/>
      <c r="D226" s="41"/>
      <c r="E226" s="41"/>
      <c r="F226" s="40"/>
      <c r="G226" s="40"/>
    </row>
    <row r="227" spans="3:7" ht="15.75" customHeight="1" x14ac:dyDescent="0.25">
      <c r="C227" s="40"/>
      <c r="D227" s="41"/>
      <c r="E227" s="41"/>
      <c r="F227" s="40"/>
      <c r="G227" s="40"/>
    </row>
    <row r="228" spans="3:7" ht="15.75" customHeight="1" x14ac:dyDescent="0.25">
      <c r="C228" s="40"/>
      <c r="D228" s="41"/>
      <c r="E228" s="41"/>
      <c r="F228" s="40"/>
      <c r="G228" s="40"/>
    </row>
    <row r="229" spans="3:7" ht="15.75" customHeight="1" x14ac:dyDescent="0.25">
      <c r="C229" s="40"/>
      <c r="D229" s="41"/>
      <c r="E229" s="41"/>
      <c r="F229" s="40"/>
      <c r="G229" s="40"/>
    </row>
    <row r="230" spans="3:7" ht="15.75" customHeight="1" x14ac:dyDescent="0.25">
      <c r="C230" s="40"/>
      <c r="D230" s="41"/>
      <c r="E230" s="41"/>
      <c r="F230" s="40"/>
      <c r="G230" s="40"/>
    </row>
    <row r="231" spans="3:7" ht="15.75" customHeight="1" x14ac:dyDescent="0.25">
      <c r="C231" s="40"/>
      <c r="D231" s="41"/>
      <c r="E231" s="41"/>
      <c r="F231" s="40"/>
      <c r="G231" s="40"/>
    </row>
    <row r="232" spans="3:7" ht="15.75" customHeight="1" x14ac:dyDescent="0.25">
      <c r="C232" s="40"/>
      <c r="D232" s="41"/>
      <c r="E232" s="41"/>
      <c r="F232" s="40"/>
      <c r="G232" s="40"/>
    </row>
    <row r="233" spans="3:7" ht="15.75" customHeight="1" x14ac:dyDescent="0.25">
      <c r="C233" s="40"/>
      <c r="D233" s="41"/>
      <c r="E233" s="41"/>
      <c r="F233" s="40"/>
      <c r="G233" s="40"/>
    </row>
    <row r="234" spans="3:7" ht="15.75" customHeight="1" x14ac:dyDescent="0.25">
      <c r="C234" s="40"/>
      <c r="D234" s="41"/>
      <c r="E234" s="41"/>
      <c r="F234" s="40"/>
      <c r="G234" s="40"/>
    </row>
    <row r="235" spans="3:7" ht="15.75" customHeight="1" x14ac:dyDescent="0.25">
      <c r="C235" s="40"/>
      <c r="D235" s="41"/>
      <c r="E235" s="41"/>
      <c r="F235" s="40"/>
      <c r="G235" s="40"/>
    </row>
    <row r="236" spans="3:7" ht="15.75" customHeight="1" x14ac:dyDescent="0.25">
      <c r="C236" s="40"/>
      <c r="D236" s="41"/>
      <c r="E236" s="41"/>
      <c r="F236" s="40"/>
      <c r="G236" s="40"/>
    </row>
    <row r="237" spans="3:7" ht="15.75" customHeight="1" x14ac:dyDescent="0.25">
      <c r="C237" s="40"/>
      <c r="D237" s="41"/>
      <c r="E237" s="41"/>
      <c r="F237" s="40"/>
      <c r="G237" s="40"/>
    </row>
    <row r="238" spans="3:7" ht="15.75" customHeight="1" x14ac:dyDescent="0.25">
      <c r="C238" s="40"/>
      <c r="D238" s="41"/>
      <c r="E238" s="41"/>
      <c r="F238" s="40"/>
      <c r="G238" s="40"/>
    </row>
    <row r="239" spans="3:7" ht="15.75" customHeight="1" x14ac:dyDescent="0.25">
      <c r="C239" s="40"/>
      <c r="D239" s="41"/>
      <c r="E239" s="41"/>
      <c r="F239" s="40"/>
      <c r="G239" s="40"/>
    </row>
    <row r="240" spans="3:7" ht="15.75" customHeight="1" x14ac:dyDescent="0.25">
      <c r="C240" s="40"/>
      <c r="D240" s="41"/>
      <c r="E240" s="41"/>
      <c r="F240" s="40"/>
      <c r="G240" s="40"/>
    </row>
    <row r="241" spans="3:7" ht="15.75" customHeight="1" x14ac:dyDescent="0.25">
      <c r="C241" s="40"/>
      <c r="D241" s="41"/>
      <c r="E241" s="41"/>
      <c r="F241" s="40"/>
      <c r="G241" s="40"/>
    </row>
    <row r="242" spans="3:7" ht="15.75" customHeight="1" x14ac:dyDescent="0.25">
      <c r="C242" s="40"/>
      <c r="D242" s="41"/>
      <c r="E242" s="41"/>
      <c r="F242" s="40"/>
      <c r="G242" s="40"/>
    </row>
    <row r="243" spans="3:7" ht="15.75" customHeight="1" x14ac:dyDescent="0.25">
      <c r="C243" s="40"/>
      <c r="D243" s="41"/>
      <c r="E243" s="41"/>
      <c r="F243" s="40"/>
      <c r="G243" s="40"/>
    </row>
    <row r="244" spans="3:7" ht="15.75" customHeight="1" x14ac:dyDescent="0.25">
      <c r="C244" s="40"/>
      <c r="D244" s="41"/>
      <c r="E244" s="41"/>
      <c r="F244" s="40"/>
      <c r="G244" s="40"/>
    </row>
    <row r="245" spans="3:7" ht="15.75" customHeight="1" x14ac:dyDescent="0.25">
      <c r="C245" s="40"/>
      <c r="D245" s="41"/>
      <c r="E245" s="41"/>
      <c r="F245" s="40"/>
      <c r="G245" s="40"/>
    </row>
    <row r="246" spans="3:7" ht="15.75" customHeight="1" x14ac:dyDescent="0.25">
      <c r="C246" s="40"/>
      <c r="D246" s="41"/>
      <c r="E246" s="41"/>
      <c r="F246" s="40"/>
      <c r="G246" s="40"/>
    </row>
    <row r="247" spans="3:7" ht="15.75" customHeight="1" x14ac:dyDescent="0.25">
      <c r="C247" s="40"/>
      <c r="D247" s="41"/>
      <c r="E247" s="41"/>
      <c r="F247" s="40"/>
      <c r="G247" s="40"/>
    </row>
    <row r="248" spans="3:7" ht="15.75" customHeight="1" x14ac:dyDescent="0.25">
      <c r="C248" s="40"/>
      <c r="D248" s="41"/>
      <c r="E248" s="41"/>
      <c r="F248" s="40"/>
      <c r="G248" s="40"/>
    </row>
    <row r="249" spans="3:7" ht="15.75" customHeight="1" x14ac:dyDescent="0.25">
      <c r="C249" s="40"/>
      <c r="D249" s="41"/>
      <c r="E249" s="41"/>
      <c r="F249" s="40"/>
      <c r="G249" s="40"/>
    </row>
    <row r="250" spans="3:7" ht="15.75" customHeight="1" x14ac:dyDescent="0.25">
      <c r="C250" s="40"/>
      <c r="D250" s="41"/>
      <c r="E250" s="41"/>
      <c r="F250" s="40"/>
      <c r="G250" s="40"/>
    </row>
    <row r="251" spans="3:7" ht="15.75" customHeight="1" x14ac:dyDescent="0.25">
      <c r="C251" s="40"/>
      <c r="D251" s="41"/>
      <c r="E251" s="41"/>
      <c r="F251" s="40"/>
      <c r="G251" s="40"/>
    </row>
    <row r="252" spans="3:7" ht="15.75" customHeight="1" x14ac:dyDescent="0.25">
      <c r="C252" s="40"/>
      <c r="D252" s="41"/>
      <c r="E252" s="41"/>
      <c r="F252" s="40"/>
      <c r="G252" s="40"/>
    </row>
    <row r="253" spans="3:7" ht="15.75" customHeight="1" x14ac:dyDescent="0.25">
      <c r="C253" s="40"/>
      <c r="D253" s="41"/>
      <c r="E253" s="41"/>
      <c r="F253" s="40"/>
      <c r="G253" s="40"/>
    </row>
    <row r="254" spans="3:7" ht="15.75" customHeight="1" x14ac:dyDescent="0.25">
      <c r="C254" s="40"/>
      <c r="D254" s="41"/>
      <c r="E254" s="41"/>
      <c r="F254" s="40"/>
      <c r="G254" s="40"/>
    </row>
    <row r="255" spans="3:7" ht="15.75" customHeight="1" x14ac:dyDescent="0.25">
      <c r="C255" s="40"/>
      <c r="D255" s="41"/>
      <c r="E255" s="41"/>
      <c r="F255" s="40"/>
      <c r="G255" s="40"/>
    </row>
    <row r="256" spans="3:7" ht="15.75" customHeight="1" x14ac:dyDescent="0.25">
      <c r="C256" s="40"/>
      <c r="D256" s="41"/>
      <c r="E256" s="41"/>
      <c r="F256" s="40"/>
      <c r="G256" s="40"/>
    </row>
    <row r="257" spans="3:7" ht="15.75" customHeight="1" x14ac:dyDescent="0.25">
      <c r="C257" s="40"/>
      <c r="D257" s="41"/>
      <c r="E257" s="41"/>
      <c r="F257" s="40"/>
      <c r="G257" s="40"/>
    </row>
    <row r="258" spans="3:7" ht="15.75" customHeight="1" x14ac:dyDescent="0.25">
      <c r="C258" s="40"/>
      <c r="D258" s="41"/>
      <c r="E258" s="41"/>
      <c r="F258" s="40"/>
      <c r="G258" s="40"/>
    </row>
    <row r="259" spans="3:7" ht="15.75" customHeight="1" x14ac:dyDescent="0.25">
      <c r="C259" s="40"/>
      <c r="D259" s="41"/>
      <c r="E259" s="41"/>
      <c r="F259" s="40"/>
      <c r="G259" s="40"/>
    </row>
    <row r="260" spans="3:7" ht="15.75" customHeight="1" x14ac:dyDescent="0.25">
      <c r="C260" s="40"/>
      <c r="D260" s="41"/>
      <c r="E260" s="41"/>
      <c r="F260" s="40"/>
      <c r="G260" s="40"/>
    </row>
    <row r="261" spans="3:7" ht="15.75" customHeight="1" x14ac:dyDescent="0.25">
      <c r="C261" s="40"/>
      <c r="D261" s="41"/>
      <c r="E261" s="41"/>
      <c r="F261" s="40"/>
      <c r="G261" s="40"/>
    </row>
    <row r="262" spans="3:7" ht="15.75" customHeight="1" x14ac:dyDescent="0.25">
      <c r="C262" s="40"/>
      <c r="D262" s="41"/>
      <c r="E262" s="41"/>
      <c r="F262" s="40"/>
      <c r="G262" s="40"/>
    </row>
    <row r="263" spans="3:7" ht="15.75" customHeight="1" x14ac:dyDescent="0.25">
      <c r="C263" s="40"/>
      <c r="D263" s="41"/>
      <c r="E263" s="41"/>
      <c r="F263" s="40"/>
      <c r="G263" s="40"/>
    </row>
    <row r="264" spans="3:7" ht="15.75" customHeight="1" x14ac:dyDescent="0.25">
      <c r="C264" s="40"/>
      <c r="D264" s="41"/>
      <c r="E264" s="41"/>
      <c r="F264" s="40"/>
      <c r="G264" s="40"/>
    </row>
    <row r="265" spans="3:7" ht="15.75" customHeight="1" x14ac:dyDescent="0.25">
      <c r="C265" s="40"/>
      <c r="D265" s="41"/>
      <c r="E265" s="41"/>
      <c r="F265" s="40"/>
      <c r="G265" s="40"/>
    </row>
    <row r="266" spans="3:7" ht="15.75" customHeight="1" x14ac:dyDescent="0.25">
      <c r="C266" s="40"/>
      <c r="D266" s="41"/>
      <c r="E266" s="41"/>
      <c r="F266" s="40"/>
      <c r="G266" s="40"/>
    </row>
    <row r="267" spans="3:7" ht="15.75" customHeight="1" x14ac:dyDescent="0.25">
      <c r="C267" s="40"/>
      <c r="D267" s="41"/>
      <c r="E267" s="41"/>
      <c r="F267" s="40"/>
      <c r="G267" s="40"/>
    </row>
    <row r="268" spans="3:7" ht="15.75" customHeight="1" x14ac:dyDescent="0.25">
      <c r="C268" s="40"/>
      <c r="D268" s="41"/>
      <c r="E268" s="41"/>
      <c r="F268" s="40"/>
      <c r="G268" s="40"/>
    </row>
    <row r="269" spans="3:7" ht="15.75" customHeight="1" x14ac:dyDescent="0.25">
      <c r="C269" s="40"/>
      <c r="D269" s="41"/>
      <c r="E269" s="41"/>
      <c r="F269" s="40"/>
      <c r="G269" s="40"/>
    </row>
    <row r="270" spans="3:7" ht="15.75" customHeight="1" x14ac:dyDescent="0.25">
      <c r="C270" s="40"/>
      <c r="D270" s="41"/>
      <c r="E270" s="41"/>
      <c r="F270" s="40"/>
      <c r="G270" s="40"/>
    </row>
    <row r="271" spans="3:7" ht="15.75" customHeight="1" x14ac:dyDescent="0.25">
      <c r="C271" s="40"/>
      <c r="D271" s="41"/>
      <c r="E271" s="41"/>
      <c r="F271" s="40"/>
      <c r="G271" s="40"/>
    </row>
    <row r="272" spans="3:7" ht="15.75" customHeight="1" x14ac:dyDescent="0.25">
      <c r="C272" s="40"/>
      <c r="D272" s="41"/>
      <c r="E272" s="41"/>
      <c r="F272" s="40"/>
      <c r="G272" s="40"/>
    </row>
    <row r="273" spans="3:7" ht="15.75" customHeight="1" x14ac:dyDescent="0.25">
      <c r="C273" s="40"/>
      <c r="D273" s="41"/>
      <c r="E273" s="41"/>
      <c r="F273" s="40"/>
      <c r="G273" s="40"/>
    </row>
    <row r="274" spans="3:7" ht="15.75" customHeight="1" x14ac:dyDescent="0.25">
      <c r="C274" s="40"/>
      <c r="D274" s="41"/>
      <c r="E274" s="41"/>
      <c r="F274" s="40"/>
      <c r="G274" s="40"/>
    </row>
    <row r="275" spans="3:7" ht="15.75" customHeight="1" x14ac:dyDescent="0.25">
      <c r="C275" s="40"/>
      <c r="D275" s="41"/>
      <c r="E275" s="41"/>
      <c r="F275" s="40"/>
      <c r="G275" s="40"/>
    </row>
    <row r="276" spans="3:7" ht="15.75" customHeight="1" x14ac:dyDescent="0.25">
      <c r="C276" s="40"/>
      <c r="D276" s="41"/>
      <c r="E276" s="41"/>
      <c r="F276" s="40"/>
      <c r="G276" s="40"/>
    </row>
    <row r="277" spans="3:7" ht="15.75" customHeight="1" x14ac:dyDescent="0.25">
      <c r="C277" s="40"/>
      <c r="D277" s="41"/>
      <c r="E277" s="41"/>
      <c r="F277" s="40"/>
      <c r="G277" s="40"/>
    </row>
    <row r="278" spans="3:7" ht="15.75" customHeight="1" x14ac:dyDescent="0.25">
      <c r="C278" s="40"/>
      <c r="D278" s="41"/>
      <c r="E278" s="41"/>
      <c r="F278" s="40"/>
      <c r="G278" s="40"/>
    </row>
    <row r="279" spans="3:7" ht="15.75" customHeight="1" x14ac:dyDescent="0.25">
      <c r="C279" s="40"/>
      <c r="D279" s="41"/>
      <c r="E279" s="41"/>
      <c r="F279" s="40"/>
      <c r="G279" s="40"/>
    </row>
    <row r="280" spans="3:7" ht="15.75" customHeight="1" x14ac:dyDescent="0.25">
      <c r="C280" s="40"/>
      <c r="D280" s="41"/>
      <c r="E280" s="41"/>
      <c r="F280" s="40"/>
      <c r="G280" s="40"/>
    </row>
    <row r="281" spans="3:7" ht="15.75" customHeight="1" x14ac:dyDescent="0.25">
      <c r="C281" s="40"/>
      <c r="D281" s="41"/>
      <c r="E281" s="41"/>
      <c r="F281" s="40"/>
      <c r="G281" s="40"/>
    </row>
    <row r="282" spans="3:7" ht="15.75" customHeight="1" x14ac:dyDescent="0.25">
      <c r="C282" s="40"/>
      <c r="D282" s="41"/>
      <c r="E282" s="41"/>
      <c r="F282" s="40"/>
      <c r="G282" s="40"/>
    </row>
    <row r="283" spans="3:7" ht="15.75" customHeight="1" x14ac:dyDescent="0.25">
      <c r="C283" s="40"/>
      <c r="D283" s="41"/>
      <c r="E283" s="41"/>
      <c r="F283" s="40"/>
      <c r="G283" s="40"/>
    </row>
    <row r="284" spans="3:7" ht="15.75" customHeight="1" x14ac:dyDescent="0.25">
      <c r="C284" s="40"/>
      <c r="D284" s="41"/>
      <c r="E284" s="41"/>
      <c r="F284" s="40"/>
      <c r="G284" s="40"/>
    </row>
    <row r="285" spans="3:7" ht="15.75" customHeight="1" x14ac:dyDescent="0.25">
      <c r="C285" s="40"/>
      <c r="D285" s="41"/>
      <c r="E285" s="41"/>
      <c r="F285" s="40"/>
      <c r="G285" s="40"/>
    </row>
    <row r="286" spans="3:7" ht="15.75" customHeight="1" x14ac:dyDescent="0.25">
      <c r="C286" s="40"/>
      <c r="D286" s="41"/>
      <c r="E286" s="41"/>
      <c r="F286" s="40"/>
      <c r="G286" s="40"/>
    </row>
    <row r="287" spans="3:7" ht="15.75" customHeight="1" x14ac:dyDescent="0.25">
      <c r="C287" s="40"/>
      <c r="D287" s="41"/>
      <c r="E287" s="41"/>
      <c r="F287" s="40"/>
      <c r="G287" s="40"/>
    </row>
    <row r="288" spans="3:7" ht="15.75" customHeight="1" x14ac:dyDescent="0.25">
      <c r="C288" s="40"/>
      <c r="D288" s="41"/>
      <c r="E288" s="41"/>
      <c r="F288" s="40"/>
      <c r="G288" s="40"/>
    </row>
    <row r="289" spans="3:7" ht="15.75" customHeight="1" x14ac:dyDescent="0.25">
      <c r="C289" s="40"/>
      <c r="D289" s="41"/>
      <c r="E289" s="41"/>
      <c r="F289" s="40"/>
      <c r="G289" s="40"/>
    </row>
    <row r="290" spans="3:7" ht="15.75" customHeight="1" x14ac:dyDescent="0.25">
      <c r="C290" s="40"/>
      <c r="D290" s="41"/>
      <c r="E290" s="41"/>
      <c r="F290" s="40"/>
      <c r="G290" s="40"/>
    </row>
    <row r="291" spans="3:7" ht="15.75" customHeight="1" x14ac:dyDescent="0.25">
      <c r="C291" s="40"/>
      <c r="D291" s="41"/>
      <c r="E291" s="41"/>
      <c r="F291" s="40"/>
      <c r="G291" s="40"/>
    </row>
    <row r="292" spans="3:7" ht="15.75" customHeight="1" x14ac:dyDescent="0.25">
      <c r="C292" s="40"/>
      <c r="D292" s="41"/>
      <c r="E292" s="41"/>
      <c r="F292" s="40"/>
      <c r="G292" s="40"/>
    </row>
    <row r="293" spans="3:7" ht="15.75" customHeight="1" x14ac:dyDescent="0.25">
      <c r="C293" s="40"/>
      <c r="D293" s="41"/>
      <c r="E293" s="41"/>
      <c r="F293" s="40"/>
      <c r="G293" s="40"/>
    </row>
    <row r="294" spans="3:7" ht="15.75" customHeight="1" x14ac:dyDescent="0.25">
      <c r="C294" s="40"/>
      <c r="D294" s="41"/>
      <c r="E294" s="41"/>
      <c r="F294" s="40"/>
      <c r="G294" s="40"/>
    </row>
    <row r="295" spans="3:7" ht="15.75" customHeight="1" x14ac:dyDescent="0.25">
      <c r="C295" s="40"/>
      <c r="D295" s="41"/>
      <c r="E295" s="41"/>
      <c r="F295" s="40"/>
      <c r="G295" s="40"/>
    </row>
    <row r="296" spans="3:7" ht="15.75" customHeight="1" x14ac:dyDescent="0.25">
      <c r="C296" s="40"/>
      <c r="D296" s="41"/>
      <c r="E296" s="41"/>
      <c r="F296" s="40"/>
      <c r="G296" s="40"/>
    </row>
    <row r="297" spans="3:7" ht="15.75" customHeight="1" x14ac:dyDescent="0.25">
      <c r="C297" s="40"/>
      <c r="D297" s="41"/>
      <c r="E297" s="41"/>
      <c r="F297" s="40"/>
      <c r="G297" s="40"/>
    </row>
    <row r="298" spans="3:7" ht="15.75" customHeight="1" x14ac:dyDescent="0.25">
      <c r="C298" s="40"/>
      <c r="D298" s="41"/>
      <c r="E298" s="41"/>
      <c r="F298" s="40"/>
      <c r="G298" s="40"/>
    </row>
    <row r="299" spans="3:7" ht="15.75" customHeight="1" x14ac:dyDescent="0.25">
      <c r="C299" s="40"/>
      <c r="D299" s="41"/>
      <c r="E299" s="41"/>
      <c r="F299" s="40"/>
      <c r="G299" s="40"/>
    </row>
    <row r="300" spans="3:7" ht="15.75" customHeight="1" x14ac:dyDescent="0.25">
      <c r="C300" s="40"/>
      <c r="D300" s="41"/>
      <c r="E300" s="41"/>
      <c r="F300" s="40"/>
      <c r="G300" s="40"/>
    </row>
    <row r="301" spans="3:7" ht="15.75" customHeight="1" x14ac:dyDescent="0.25">
      <c r="C301" s="40"/>
      <c r="D301" s="41"/>
      <c r="E301" s="41"/>
      <c r="F301" s="40"/>
      <c r="G301" s="40"/>
    </row>
    <row r="302" spans="3:7" ht="15.75" customHeight="1" x14ac:dyDescent="0.25">
      <c r="C302" s="40"/>
      <c r="D302" s="41"/>
      <c r="E302" s="41"/>
      <c r="F302" s="40"/>
      <c r="G302" s="40"/>
    </row>
    <row r="303" spans="3:7" ht="15.75" customHeight="1" x14ac:dyDescent="0.25">
      <c r="C303" s="40"/>
      <c r="D303" s="41"/>
      <c r="E303" s="41"/>
      <c r="F303" s="40"/>
      <c r="G303" s="40"/>
    </row>
    <row r="304" spans="3:7" ht="15.75" customHeight="1" x14ac:dyDescent="0.25">
      <c r="C304" s="40"/>
      <c r="D304" s="41"/>
      <c r="E304" s="41"/>
      <c r="F304" s="40"/>
      <c r="G304" s="40"/>
    </row>
    <row r="305" spans="3:7" ht="15.75" customHeight="1" x14ac:dyDescent="0.25">
      <c r="C305" s="40"/>
      <c r="D305" s="41"/>
      <c r="E305" s="41"/>
      <c r="F305" s="40"/>
      <c r="G305" s="40"/>
    </row>
    <row r="306" spans="3:7" ht="15.75" customHeight="1" x14ac:dyDescent="0.25">
      <c r="C306" s="40"/>
      <c r="D306" s="41"/>
      <c r="E306" s="41"/>
      <c r="F306" s="40"/>
      <c r="G306" s="40"/>
    </row>
    <row r="307" spans="3:7" ht="15.75" customHeight="1" x14ac:dyDescent="0.25">
      <c r="C307" s="40"/>
      <c r="D307" s="41"/>
      <c r="E307" s="41"/>
      <c r="F307" s="40"/>
      <c r="G307" s="40"/>
    </row>
    <row r="308" spans="3:7" ht="15.75" customHeight="1" x14ac:dyDescent="0.25">
      <c r="C308" s="40"/>
      <c r="D308" s="41"/>
      <c r="E308" s="41"/>
      <c r="F308" s="40"/>
      <c r="G308" s="40"/>
    </row>
    <row r="309" spans="3:7" ht="15.75" customHeight="1" x14ac:dyDescent="0.25">
      <c r="C309" s="40"/>
      <c r="D309" s="41"/>
      <c r="E309" s="41"/>
      <c r="F309" s="40"/>
      <c r="G309" s="40"/>
    </row>
    <row r="310" spans="3:7" ht="15.75" customHeight="1" x14ac:dyDescent="0.25">
      <c r="C310" s="40"/>
      <c r="D310" s="41"/>
      <c r="E310" s="41"/>
      <c r="F310" s="40"/>
      <c r="G310" s="40"/>
    </row>
    <row r="311" spans="3:7" ht="15.75" customHeight="1" x14ac:dyDescent="0.25">
      <c r="C311" s="40"/>
      <c r="D311" s="41"/>
      <c r="E311" s="41"/>
      <c r="F311" s="40"/>
      <c r="G311" s="40"/>
    </row>
    <row r="312" spans="3:7" ht="15.75" customHeight="1" x14ac:dyDescent="0.25">
      <c r="C312" s="40"/>
      <c r="D312" s="41"/>
      <c r="E312" s="41"/>
      <c r="F312" s="40"/>
      <c r="G312" s="40"/>
    </row>
    <row r="313" spans="3:7" ht="15.75" customHeight="1" x14ac:dyDescent="0.25">
      <c r="C313" s="40"/>
      <c r="D313" s="41"/>
      <c r="E313" s="41"/>
      <c r="F313" s="40"/>
      <c r="G313" s="40"/>
    </row>
    <row r="314" spans="3:7" ht="15.75" customHeight="1" x14ac:dyDescent="0.25">
      <c r="C314" s="40"/>
      <c r="D314" s="41"/>
      <c r="E314" s="41"/>
      <c r="F314" s="40"/>
      <c r="G314" s="40"/>
    </row>
    <row r="315" spans="3:7" ht="15.75" customHeight="1" x14ac:dyDescent="0.25">
      <c r="C315" s="40"/>
      <c r="D315" s="41"/>
      <c r="E315" s="41"/>
      <c r="F315" s="40"/>
      <c r="G315" s="40"/>
    </row>
    <row r="316" spans="3:7" ht="15.75" customHeight="1" x14ac:dyDescent="0.25">
      <c r="C316" s="40"/>
      <c r="D316" s="41"/>
      <c r="E316" s="41"/>
      <c r="F316" s="40"/>
      <c r="G316" s="40"/>
    </row>
    <row r="317" spans="3:7" ht="15.75" customHeight="1" x14ac:dyDescent="0.25">
      <c r="C317" s="40"/>
      <c r="D317" s="41"/>
      <c r="E317" s="41"/>
      <c r="F317" s="40"/>
      <c r="G317" s="40"/>
    </row>
    <row r="318" spans="3:7" ht="15.75" customHeight="1" x14ac:dyDescent="0.25">
      <c r="C318" s="40"/>
      <c r="D318" s="41"/>
      <c r="E318" s="41"/>
      <c r="F318" s="40"/>
      <c r="G318" s="40"/>
    </row>
    <row r="319" spans="3:7" ht="15.75" customHeight="1" x14ac:dyDescent="0.25">
      <c r="C319" s="40"/>
      <c r="D319" s="41"/>
      <c r="E319" s="41"/>
      <c r="F319" s="40"/>
      <c r="G319" s="40"/>
    </row>
    <row r="320" spans="3:7" ht="15.75" customHeight="1" x14ac:dyDescent="0.25">
      <c r="C320" s="40"/>
      <c r="D320" s="41"/>
      <c r="E320" s="41"/>
      <c r="F320" s="40"/>
      <c r="G320" s="40"/>
    </row>
    <row r="321" spans="3:7" ht="15.75" customHeight="1" x14ac:dyDescent="0.25">
      <c r="C321" s="40"/>
      <c r="D321" s="41"/>
      <c r="E321" s="41"/>
      <c r="F321" s="40"/>
      <c r="G321" s="40"/>
    </row>
    <row r="322" spans="3:7" ht="15.75" customHeight="1" x14ac:dyDescent="0.25">
      <c r="C322" s="40"/>
      <c r="D322" s="41"/>
      <c r="E322" s="41"/>
      <c r="F322" s="40"/>
      <c r="G322" s="40"/>
    </row>
    <row r="323" spans="3:7" ht="15.75" customHeight="1" x14ac:dyDescent="0.25">
      <c r="C323" s="40"/>
      <c r="D323" s="41"/>
      <c r="E323" s="41"/>
      <c r="F323" s="40"/>
      <c r="G323" s="40"/>
    </row>
    <row r="324" spans="3:7" ht="15.75" customHeight="1" x14ac:dyDescent="0.25">
      <c r="C324" s="40"/>
      <c r="D324" s="41"/>
      <c r="E324" s="41"/>
      <c r="F324" s="40"/>
      <c r="G324" s="40"/>
    </row>
    <row r="325" spans="3:7" ht="15.75" customHeight="1" x14ac:dyDescent="0.25">
      <c r="C325" s="40"/>
      <c r="D325" s="41"/>
      <c r="E325" s="41"/>
      <c r="F325" s="40"/>
      <c r="G325" s="40"/>
    </row>
    <row r="326" spans="3:7" ht="15.75" customHeight="1" x14ac:dyDescent="0.25">
      <c r="C326" s="40"/>
      <c r="D326" s="41"/>
      <c r="E326" s="41"/>
      <c r="F326" s="40"/>
      <c r="G326" s="40"/>
    </row>
    <row r="327" spans="3:7" ht="15.75" customHeight="1" x14ac:dyDescent="0.25">
      <c r="C327" s="40"/>
      <c r="D327" s="41"/>
      <c r="E327" s="41"/>
      <c r="F327" s="40"/>
      <c r="G327" s="40"/>
    </row>
    <row r="328" spans="3:7" ht="15.75" customHeight="1" x14ac:dyDescent="0.25">
      <c r="C328" s="40"/>
      <c r="D328" s="41"/>
      <c r="E328" s="41"/>
      <c r="F328" s="40"/>
      <c r="G328" s="40"/>
    </row>
    <row r="329" spans="3:7" ht="15.75" customHeight="1" x14ac:dyDescent="0.25">
      <c r="C329" s="40"/>
      <c r="D329" s="41"/>
      <c r="E329" s="41"/>
      <c r="F329" s="40"/>
      <c r="G329" s="40"/>
    </row>
    <row r="330" spans="3:7" ht="15.75" customHeight="1" x14ac:dyDescent="0.25">
      <c r="C330" s="40"/>
      <c r="D330" s="41"/>
      <c r="E330" s="41"/>
      <c r="F330" s="40"/>
      <c r="G330" s="40"/>
    </row>
    <row r="331" spans="3:7" ht="15.75" customHeight="1" x14ac:dyDescent="0.25">
      <c r="C331" s="40"/>
      <c r="D331" s="41"/>
      <c r="E331" s="41"/>
      <c r="F331" s="40"/>
      <c r="G331" s="40"/>
    </row>
    <row r="332" spans="3:7" ht="15.75" customHeight="1" x14ac:dyDescent="0.25">
      <c r="C332" s="40"/>
      <c r="D332" s="41"/>
      <c r="E332" s="41"/>
      <c r="F332" s="40"/>
      <c r="G332" s="40"/>
    </row>
    <row r="333" spans="3:7" ht="15.75" customHeight="1" x14ac:dyDescent="0.25">
      <c r="C333" s="40"/>
      <c r="D333" s="41"/>
      <c r="E333" s="41"/>
      <c r="F333" s="40"/>
      <c r="G333" s="40"/>
    </row>
    <row r="334" spans="3:7" ht="15.75" customHeight="1" x14ac:dyDescent="0.25">
      <c r="C334" s="40"/>
      <c r="D334" s="41"/>
      <c r="E334" s="41"/>
      <c r="F334" s="40"/>
      <c r="G334" s="40"/>
    </row>
    <row r="335" spans="3:7" ht="15.75" customHeight="1" x14ac:dyDescent="0.25">
      <c r="C335" s="40"/>
      <c r="D335" s="41"/>
      <c r="E335" s="41"/>
      <c r="F335" s="40"/>
      <c r="G335" s="40"/>
    </row>
    <row r="336" spans="3:7" ht="15.75" customHeight="1" x14ac:dyDescent="0.25">
      <c r="C336" s="40"/>
      <c r="D336" s="41"/>
      <c r="E336" s="41"/>
      <c r="F336" s="40"/>
      <c r="G336" s="40"/>
    </row>
    <row r="337" spans="3:7" ht="15.75" customHeight="1" x14ac:dyDescent="0.25">
      <c r="C337" s="40"/>
      <c r="D337" s="41"/>
      <c r="E337" s="41"/>
      <c r="F337" s="40"/>
      <c r="G337" s="40"/>
    </row>
    <row r="338" spans="3:7" ht="15.75" customHeight="1" x14ac:dyDescent="0.25">
      <c r="C338" s="40"/>
      <c r="D338" s="41"/>
      <c r="E338" s="41"/>
      <c r="F338" s="40"/>
      <c r="G338" s="40"/>
    </row>
    <row r="339" spans="3:7" ht="15.75" customHeight="1" x14ac:dyDescent="0.25">
      <c r="C339" s="40"/>
      <c r="D339" s="41"/>
      <c r="E339" s="41"/>
      <c r="F339" s="40"/>
      <c r="G339" s="40"/>
    </row>
    <row r="340" spans="3:7" ht="15.75" customHeight="1" x14ac:dyDescent="0.25">
      <c r="C340" s="40"/>
      <c r="D340" s="41"/>
      <c r="E340" s="41"/>
      <c r="F340" s="40"/>
      <c r="G340" s="40"/>
    </row>
    <row r="341" spans="3:7" ht="15.75" customHeight="1" x14ac:dyDescent="0.25">
      <c r="C341" s="40"/>
      <c r="D341" s="41"/>
      <c r="E341" s="41"/>
      <c r="F341" s="40"/>
      <c r="G341" s="40"/>
    </row>
    <row r="342" spans="3:7" ht="15.75" customHeight="1" x14ac:dyDescent="0.25">
      <c r="C342" s="40"/>
      <c r="D342" s="41"/>
      <c r="E342" s="41"/>
      <c r="F342" s="40"/>
      <c r="G342" s="40"/>
    </row>
    <row r="343" spans="3:7" ht="15.75" customHeight="1" x14ac:dyDescent="0.25">
      <c r="C343" s="40"/>
      <c r="D343" s="41"/>
      <c r="E343" s="41"/>
      <c r="F343" s="40"/>
      <c r="G343" s="40"/>
    </row>
    <row r="344" spans="3:7" ht="15.75" customHeight="1" x14ac:dyDescent="0.25">
      <c r="C344" s="40"/>
      <c r="D344" s="41"/>
      <c r="E344" s="41"/>
      <c r="F344" s="40"/>
      <c r="G344" s="40"/>
    </row>
    <row r="345" spans="3:7" ht="15.75" customHeight="1" x14ac:dyDescent="0.25">
      <c r="C345" s="40"/>
      <c r="D345" s="41"/>
      <c r="E345" s="41"/>
      <c r="F345" s="40"/>
      <c r="G345" s="40"/>
    </row>
    <row r="346" spans="3:7" ht="15.75" customHeight="1" x14ac:dyDescent="0.25">
      <c r="C346" s="40"/>
      <c r="D346" s="41"/>
      <c r="E346" s="41"/>
      <c r="F346" s="40"/>
      <c r="G346" s="40"/>
    </row>
    <row r="347" spans="3:7" ht="15.75" customHeight="1" x14ac:dyDescent="0.25">
      <c r="C347" s="40"/>
      <c r="D347" s="41"/>
      <c r="E347" s="41"/>
      <c r="F347" s="40"/>
      <c r="G347" s="40"/>
    </row>
    <row r="348" spans="3:7" ht="15.75" customHeight="1" x14ac:dyDescent="0.25">
      <c r="C348" s="40"/>
      <c r="D348" s="41"/>
      <c r="E348" s="41"/>
      <c r="F348" s="40"/>
      <c r="G348" s="40"/>
    </row>
    <row r="349" spans="3:7" ht="15.75" customHeight="1" x14ac:dyDescent="0.25">
      <c r="C349" s="40"/>
      <c r="D349" s="41"/>
      <c r="E349" s="41"/>
      <c r="F349" s="40"/>
      <c r="G349" s="40"/>
    </row>
    <row r="350" spans="3:7" ht="15.75" customHeight="1" x14ac:dyDescent="0.25">
      <c r="C350" s="40"/>
      <c r="D350" s="41"/>
      <c r="E350" s="41"/>
      <c r="F350" s="40"/>
      <c r="G350" s="40"/>
    </row>
    <row r="351" spans="3:7" ht="15.75" customHeight="1" x14ac:dyDescent="0.25">
      <c r="C351" s="40"/>
      <c r="D351" s="41"/>
      <c r="E351" s="41"/>
      <c r="F351" s="40"/>
      <c r="G351" s="40"/>
    </row>
    <row r="352" spans="3:7" ht="15.75" customHeight="1" x14ac:dyDescent="0.25">
      <c r="C352" s="40"/>
      <c r="D352" s="41"/>
      <c r="E352" s="41"/>
      <c r="F352" s="40"/>
      <c r="G352" s="40"/>
    </row>
    <row r="353" spans="3:7" ht="15.75" customHeight="1" x14ac:dyDescent="0.25">
      <c r="C353" s="40"/>
      <c r="D353" s="41"/>
      <c r="E353" s="41"/>
      <c r="F353" s="40"/>
      <c r="G353" s="40"/>
    </row>
    <row r="354" spans="3:7" ht="15.75" customHeight="1" x14ac:dyDescent="0.25">
      <c r="C354" s="40"/>
      <c r="D354" s="41"/>
      <c r="E354" s="41"/>
      <c r="F354" s="40"/>
      <c r="G354" s="40"/>
    </row>
    <row r="355" spans="3:7" ht="15.75" customHeight="1" x14ac:dyDescent="0.25">
      <c r="C355" s="40"/>
      <c r="D355" s="41"/>
      <c r="E355" s="41"/>
      <c r="F355" s="40"/>
      <c r="G355" s="40"/>
    </row>
    <row r="356" spans="3:7" ht="15.75" customHeight="1" x14ac:dyDescent="0.25">
      <c r="C356" s="40"/>
      <c r="D356" s="41"/>
      <c r="E356" s="41"/>
      <c r="F356" s="40"/>
      <c r="G356" s="40"/>
    </row>
    <row r="357" spans="3:7" ht="15.75" customHeight="1" x14ac:dyDescent="0.25">
      <c r="C357" s="40"/>
      <c r="D357" s="41"/>
      <c r="E357" s="41"/>
      <c r="F357" s="40"/>
      <c r="G357" s="40"/>
    </row>
    <row r="358" spans="3:7" ht="15.75" customHeight="1" x14ac:dyDescent="0.25">
      <c r="C358" s="40"/>
      <c r="D358" s="41"/>
      <c r="E358" s="41"/>
      <c r="F358" s="40"/>
      <c r="G358" s="40"/>
    </row>
    <row r="359" spans="3:7" ht="15.75" customHeight="1" x14ac:dyDescent="0.25">
      <c r="C359" s="40"/>
      <c r="D359" s="41"/>
      <c r="E359" s="41"/>
      <c r="F359" s="40"/>
      <c r="G359" s="40"/>
    </row>
    <row r="360" spans="3:7" ht="15.75" customHeight="1" x14ac:dyDescent="0.25">
      <c r="C360" s="40"/>
      <c r="D360" s="41"/>
      <c r="E360" s="41"/>
      <c r="F360" s="40"/>
      <c r="G360" s="40"/>
    </row>
    <row r="361" spans="3:7" ht="15.75" customHeight="1" x14ac:dyDescent="0.25">
      <c r="C361" s="40"/>
      <c r="D361" s="41"/>
      <c r="E361" s="41"/>
      <c r="F361" s="40"/>
      <c r="G361" s="40"/>
    </row>
    <row r="362" spans="3:7" ht="15.75" customHeight="1" x14ac:dyDescent="0.25">
      <c r="C362" s="40"/>
      <c r="D362" s="41"/>
      <c r="E362" s="41"/>
      <c r="F362" s="40"/>
      <c r="G362" s="40"/>
    </row>
    <row r="363" spans="3:7" ht="15.75" customHeight="1" x14ac:dyDescent="0.25">
      <c r="C363" s="40"/>
      <c r="D363" s="41"/>
      <c r="E363" s="41"/>
      <c r="F363" s="40"/>
      <c r="G363" s="40"/>
    </row>
    <row r="364" spans="3:7" ht="15.75" customHeight="1" x14ac:dyDescent="0.25">
      <c r="C364" s="40"/>
      <c r="D364" s="41"/>
      <c r="E364" s="41"/>
      <c r="F364" s="40"/>
      <c r="G364" s="40"/>
    </row>
    <row r="365" spans="3:7" ht="15.75" customHeight="1" x14ac:dyDescent="0.25">
      <c r="C365" s="40"/>
      <c r="D365" s="41"/>
      <c r="E365" s="41"/>
      <c r="F365" s="40"/>
      <c r="G365" s="40"/>
    </row>
    <row r="366" spans="3:7" ht="15.75" customHeight="1" x14ac:dyDescent="0.25">
      <c r="C366" s="40"/>
      <c r="D366" s="41"/>
      <c r="E366" s="41"/>
      <c r="F366" s="40"/>
      <c r="G366" s="40"/>
    </row>
    <row r="367" spans="3:7" ht="15.75" customHeight="1" x14ac:dyDescent="0.25">
      <c r="C367" s="40"/>
      <c r="D367" s="41"/>
      <c r="E367" s="41"/>
      <c r="F367" s="40"/>
      <c r="G367" s="40"/>
    </row>
    <row r="368" spans="3:7" ht="15.75" customHeight="1" x14ac:dyDescent="0.25">
      <c r="C368" s="40"/>
      <c r="D368" s="41"/>
      <c r="E368" s="41"/>
      <c r="F368" s="40"/>
      <c r="G368" s="40"/>
    </row>
    <row r="369" spans="3:7" ht="15.75" customHeight="1" x14ac:dyDescent="0.25">
      <c r="C369" s="40"/>
      <c r="D369" s="41"/>
      <c r="E369" s="41"/>
      <c r="F369" s="40"/>
      <c r="G369" s="40"/>
    </row>
    <row r="370" spans="3:7" ht="15.75" customHeight="1" x14ac:dyDescent="0.25">
      <c r="C370" s="40"/>
      <c r="D370" s="41"/>
      <c r="E370" s="41"/>
      <c r="F370" s="40"/>
      <c r="G370" s="40"/>
    </row>
    <row r="371" spans="3:7" ht="15.75" customHeight="1" x14ac:dyDescent="0.25">
      <c r="C371" s="40"/>
      <c r="D371" s="41"/>
      <c r="E371" s="41"/>
      <c r="F371" s="40"/>
      <c r="G371" s="40"/>
    </row>
    <row r="372" spans="3:7" ht="15.75" customHeight="1" x14ac:dyDescent="0.25">
      <c r="C372" s="40"/>
      <c r="D372" s="41"/>
      <c r="E372" s="41"/>
      <c r="F372" s="40"/>
      <c r="G372" s="40"/>
    </row>
    <row r="373" spans="3:7" ht="15.75" customHeight="1" x14ac:dyDescent="0.25">
      <c r="C373" s="40"/>
      <c r="D373" s="41"/>
      <c r="E373" s="41"/>
      <c r="F373" s="40"/>
      <c r="G373" s="40"/>
    </row>
    <row r="374" spans="3:7" ht="15.75" customHeight="1" x14ac:dyDescent="0.25">
      <c r="C374" s="40"/>
      <c r="D374" s="41"/>
      <c r="E374" s="41"/>
      <c r="F374" s="40"/>
      <c r="G374" s="40"/>
    </row>
    <row r="375" spans="3:7" ht="15.75" customHeight="1" x14ac:dyDescent="0.25">
      <c r="C375" s="40"/>
      <c r="D375" s="41"/>
      <c r="E375" s="41"/>
      <c r="F375" s="40"/>
      <c r="G375" s="40"/>
    </row>
    <row r="376" spans="3:7" ht="15.75" customHeight="1" x14ac:dyDescent="0.25">
      <c r="C376" s="40"/>
      <c r="D376" s="41"/>
      <c r="E376" s="41"/>
      <c r="F376" s="40"/>
      <c r="G376" s="40"/>
    </row>
    <row r="377" spans="3:7" ht="15.75" customHeight="1" x14ac:dyDescent="0.25">
      <c r="C377" s="40"/>
      <c r="D377" s="41"/>
      <c r="E377" s="41"/>
      <c r="F377" s="40"/>
      <c r="G377" s="40"/>
    </row>
    <row r="378" spans="3:7" ht="15.75" customHeight="1" x14ac:dyDescent="0.25">
      <c r="C378" s="40"/>
      <c r="D378" s="41"/>
      <c r="E378" s="41"/>
      <c r="F378" s="40"/>
      <c r="G378" s="40"/>
    </row>
    <row r="379" spans="3:7" ht="15.75" customHeight="1" x14ac:dyDescent="0.25">
      <c r="C379" s="40"/>
      <c r="D379" s="41"/>
      <c r="E379" s="41"/>
      <c r="F379" s="40"/>
      <c r="G379" s="40"/>
    </row>
    <row r="380" spans="3:7" ht="15.75" customHeight="1" x14ac:dyDescent="0.25">
      <c r="C380" s="40"/>
      <c r="D380" s="41"/>
      <c r="E380" s="41"/>
      <c r="F380" s="40"/>
      <c r="G380" s="40"/>
    </row>
    <row r="381" spans="3:7" ht="15.75" customHeight="1" x14ac:dyDescent="0.25">
      <c r="C381" s="40"/>
      <c r="D381" s="41"/>
      <c r="E381" s="41"/>
      <c r="F381" s="40"/>
      <c r="G381" s="40"/>
    </row>
    <row r="382" spans="3:7" ht="15.75" customHeight="1" x14ac:dyDescent="0.25">
      <c r="C382" s="40"/>
      <c r="D382" s="41"/>
      <c r="E382" s="41"/>
      <c r="F382" s="40"/>
      <c r="G382" s="40"/>
    </row>
    <row r="383" spans="3:7" ht="15.75" customHeight="1" x14ac:dyDescent="0.25">
      <c r="C383" s="40"/>
      <c r="D383" s="41"/>
      <c r="E383" s="41"/>
      <c r="F383" s="40"/>
      <c r="G383" s="40"/>
    </row>
    <row r="384" spans="3:7" ht="15.75" customHeight="1" x14ac:dyDescent="0.25">
      <c r="C384" s="40"/>
      <c r="D384" s="41"/>
      <c r="E384" s="41"/>
      <c r="F384" s="40"/>
      <c r="G384" s="40"/>
    </row>
    <row r="385" spans="3:7" ht="15.75" customHeight="1" x14ac:dyDescent="0.25">
      <c r="C385" s="40"/>
      <c r="D385" s="41"/>
      <c r="E385" s="41"/>
      <c r="F385" s="40"/>
      <c r="G385" s="40"/>
    </row>
    <row r="386" spans="3:7" ht="15.75" customHeight="1" x14ac:dyDescent="0.25">
      <c r="C386" s="40"/>
      <c r="D386" s="41"/>
      <c r="E386" s="41"/>
      <c r="F386" s="40"/>
      <c r="G386" s="40"/>
    </row>
    <row r="387" spans="3:7" ht="15.75" customHeight="1" x14ac:dyDescent="0.25">
      <c r="C387" s="40"/>
      <c r="D387" s="41"/>
      <c r="E387" s="41"/>
      <c r="F387" s="40"/>
      <c r="G387" s="40"/>
    </row>
    <row r="388" spans="3:7" ht="15.75" customHeight="1" x14ac:dyDescent="0.25">
      <c r="C388" s="40"/>
      <c r="D388" s="41"/>
      <c r="E388" s="41"/>
      <c r="F388" s="40"/>
      <c r="G388" s="40"/>
    </row>
    <row r="389" spans="3:7" ht="15.75" customHeight="1" x14ac:dyDescent="0.25">
      <c r="C389" s="40"/>
      <c r="D389" s="41"/>
      <c r="E389" s="41"/>
      <c r="F389" s="40"/>
      <c r="G389" s="40"/>
    </row>
    <row r="390" spans="3:7" ht="15.75" customHeight="1" x14ac:dyDescent="0.25">
      <c r="C390" s="40"/>
      <c r="D390" s="41"/>
      <c r="E390" s="41"/>
      <c r="F390" s="40"/>
      <c r="G390" s="40"/>
    </row>
    <row r="391" spans="3:7" ht="15.75" customHeight="1" x14ac:dyDescent="0.25">
      <c r="C391" s="40"/>
      <c r="D391" s="41"/>
      <c r="E391" s="41"/>
      <c r="F391" s="40"/>
      <c r="G391" s="40"/>
    </row>
    <row r="392" spans="3:7" ht="15.75" customHeight="1" x14ac:dyDescent="0.25">
      <c r="C392" s="40"/>
      <c r="D392" s="41"/>
      <c r="E392" s="41"/>
      <c r="F392" s="40"/>
      <c r="G392" s="40"/>
    </row>
    <row r="393" spans="3:7" ht="15.75" customHeight="1" x14ac:dyDescent="0.25">
      <c r="C393" s="40"/>
      <c r="D393" s="41"/>
      <c r="E393" s="41"/>
      <c r="F393" s="40"/>
      <c r="G393" s="40"/>
    </row>
    <row r="394" spans="3:7" ht="15.75" customHeight="1" x14ac:dyDescent="0.25">
      <c r="C394" s="40"/>
      <c r="D394" s="41"/>
      <c r="E394" s="41"/>
      <c r="F394" s="40"/>
      <c r="G394" s="40"/>
    </row>
    <row r="395" spans="3:7" ht="15.75" customHeight="1" x14ac:dyDescent="0.25">
      <c r="C395" s="40"/>
      <c r="D395" s="41"/>
      <c r="E395" s="41"/>
      <c r="F395" s="40"/>
      <c r="G395" s="40"/>
    </row>
    <row r="396" spans="3:7" ht="15.75" customHeight="1" x14ac:dyDescent="0.25">
      <c r="C396" s="40"/>
      <c r="D396" s="41"/>
      <c r="E396" s="41"/>
      <c r="F396" s="40"/>
      <c r="G396" s="40"/>
    </row>
    <row r="397" spans="3:7" ht="15.75" customHeight="1" x14ac:dyDescent="0.25">
      <c r="C397" s="40"/>
      <c r="D397" s="41"/>
      <c r="E397" s="41"/>
      <c r="F397" s="40"/>
      <c r="G397" s="40"/>
    </row>
    <row r="398" spans="3:7" ht="15.75" customHeight="1" x14ac:dyDescent="0.25">
      <c r="C398" s="40"/>
      <c r="D398" s="41"/>
      <c r="E398" s="41"/>
      <c r="F398" s="40"/>
      <c r="G398" s="40"/>
    </row>
    <row r="399" spans="3:7" ht="15.75" customHeight="1" x14ac:dyDescent="0.25">
      <c r="C399" s="40"/>
      <c r="D399" s="41"/>
      <c r="E399" s="41"/>
      <c r="F399" s="40"/>
      <c r="G399" s="40"/>
    </row>
    <row r="400" spans="3:7" ht="15.75" customHeight="1" x14ac:dyDescent="0.25">
      <c r="C400" s="40"/>
      <c r="D400" s="41"/>
      <c r="E400" s="41"/>
      <c r="F400" s="40"/>
      <c r="G400" s="40"/>
    </row>
    <row r="401" spans="3:7" ht="15.75" customHeight="1" x14ac:dyDescent="0.25">
      <c r="C401" s="40"/>
      <c r="D401" s="41"/>
      <c r="E401" s="41"/>
      <c r="F401" s="40"/>
      <c r="G401" s="40"/>
    </row>
    <row r="402" spans="3:7" ht="15.75" customHeight="1" x14ac:dyDescent="0.25">
      <c r="C402" s="40"/>
      <c r="D402" s="41"/>
      <c r="E402" s="41"/>
      <c r="F402" s="40"/>
      <c r="G402" s="40"/>
    </row>
    <row r="403" spans="3:7" ht="15.75" customHeight="1" x14ac:dyDescent="0.25">
      <c r="C403" s="40"/>
      <c r="D403" s="41"/>
      <c r="E403" s="41"/>
      <c r="F403" s="40"/>
      <c r="G403" s="40"/>
    </row>
    <row r="404" spans="3:7" ht="15.75" customHeight="1" x14ac:dyDescent="0.25">
      <c r="C404" s="40"/>
      <c r="D404" s="41"/>
      <c r="E404" s="41"/>
      <c r="F404" s="40"/>
      <c r="G404" s="40"/>
    </row>
    <row r="405" spans="3:7" ht="15.75" customHeight="1" x14ac:dyDescent="0.25">
      <c r="C405" s="40"/>
      <c r="D405" s="41"/>
      <c r="E405" s="41"/>
      <c r="F405" s="40"/>
      <c r="G405" s="40"/>
    </row>
    <row r="406" spans="3:7" ht="15.75" customHeight="1" x14ac:dyDescent="0.25">
      <c r="C406" s="40"/>
      <c r="D406" s="41"/>
      <c r="E406" s="41"/>
      <c r="F406" s="40"/>
      <c r="G406" s="40"/>
    </row>
    <row r="407" spans="3:7" ht="15.75" customHeight="1" x14ac:dyDescent="0.25">
      <c r="C407" s="40"/>
      <c r="D407" s="41"/>
      <c r="E407" s="41"/>
      <c r="F407" s="40"/>
      <c r="G407" s="40"/>
    </row>
    <row r="408" spans="3:7" ht="15.75" customHeight="1" x14ac:dyDescent="0.25">
      <c r="C408" s="40"/>
      <c r="D408" s="41"/>
      <c r="E408" s="41"/>
      <c r="F408" s="40"/>
      <c r="G408" s="40"/>
    </row>
    <row r="409" spans="3:7" ht="15.75" customHeight="1" x14ac:dyDescent="0.25">
      <c r="C409" s="40"/>
      <c r="D409" s="41"/>
      <c r="E409" s="41"/>
      <c r="F409" s="40"/>
      <c r="G409" s="40"/>
    </row>
    <row r="410" spans="3:7" ht="15.75" customHeight="1" x14ac:dyDescent="0.25">
      <c r="C410" s="40"/>
      <c r="D410" s="41"/>
      <c r="E410" s="41"/>
      <c r="F410" s="40"/>
      <c r="G410" s="40"/>
    </row>
    <row r="411" spans="3:7" ht="15.75" customHeight="1" x14ac:dyDescent="0.25">
      <c r="C411" s="40"/>
      <c r="D411" s="41"/>
      <c r="E411" s="41"/>
      <c r="F411" s="40"/>
      <c r="G411" s="40"/>
    </row>
    <row r="412" spans="3:7" ht="15.75" customHeight="1" x14ac:dyDescent="0.25">
      <c r="C412" s="40"/>
      <c r="D412" s="41"/>
      <c r="E412" s="41"/>
      <c r="F412" s="40"/>
      <c r="G412" s="40"/>
    </row>
    <row r="413" spans="3:7" ht="15.75" customHeight="1" x14ac:dyDescent="0.25">
      <c r="C413" s="40"/>
      <c r="D413" s="41"/>
      <c r="E413" s="41"/>
      <c r="F413" s="40"/>
      <c r="G413" s="40"/>
    </row>
    <row r="414" spans="3:7" ht="15.75" customHeight="1" x14ac:dyDescent="0.25">
      <c r="C414" s="40"/>
      <c r="D414" s="41"/>
      <c r="E414" s="41"/>
      <c r="F414" s="40"/>
      <c r="G414" s="40"/>
    </row>
    <row r="415" spans="3:7" ht="15.75" customHeight="1" x14ac:dyDescent="0.25">
      <c r="C415" s="40"/>
      <c r="D415" s="41"/>
      <c r="E415" s="41"/>
      <c r="F415" s="40"/>
      <c r="G415" s="40"/>
    </row>
    <row r="416" spans="3:7" ht="15.75" customHeight="1" x14ac:dyDescent="0.25">
      <c r="C416" s="40"/>
      <c r="D416" s="41"/>
      <c r="E416" s="41"/>
      <c r="F416" s="40"/>
      <c r="G416" s="40"/>
    </row>
    <row r="417" spans="3:7" ht="15.75" customHeight="1" x14ac:dyDescent="0.25">
      <c r="C417" s="40"/>
      <c r="D417" s="41"/>
      <c r="E417" s="41"/>
      <c r="F417" s="40"/>
      <c r="G417" s="40"/>
    </row>
    <row r="418" spans="3:7" ht="15.75" customHeight="1" x14ac:dyDescent="0.25">
      <c r="C418" s="40"/>
      <c r="D418" s="41"/>
      <c r="E418" s="41"/>
      <c r="F418" s="40"/>
      <c r="G418" s="40"/>
    </row>
    <row r="419" spans="3:7" ht="15.75" customHeight="1" x14ac:dyDescent="0.25">
      <c r="C419" s="40"/>
      <c r="D419" s="41"/>
      <c r="E419" s="41"/>
      <c r="F419" s="40"/>
      <c r="G419" s="40"/>
    </row>
    <row r="420" spans="3:7" ht="15.75" customHeight="1" x14ac:dyDescent="0.25">
      <c r="C420" s="40"/>
      <c r="D420" s="41"/>
      <c r="E420" s="41"/>
      <c r="F420" s="40"/>
      <c r="G420" s="40"/>
    </row>
    <row r="421" spans="3:7" ht="15.75" customHeight="1" x14ac:dyDescent="0.25">
      <c r="C421" s="40"/>
      <c r="D421" s="41"/>
      <c r="E421" s="41"/>
      <c r="F421" s="40"/>
      <c r="G421" s="40"/>
    </row>
    <row r="422" spans="3:7" ht="15.75" customHeight="1" x14ac:dyDescent="0.25">
      <c r="C422" s="40"/>
      <c r="D422" s="41"/>
      <c r="E422" s="41"/>
      <c r="F422" s="40"/>
      <c r="G422" s="40"/>
    </row>
    <row r="423" spans="3:7" ht="15.75" customHeight="1" x14ac:dyDescent="0.25">
      <c r="C423" s="40"/>
      <c r="D423" s="41"/>
      <c r="E423" s="41"/>
      <c r="F423" s="40"/>
      <c r="G423" s="40"/>
    </row>
    <row r="424" spans="3:7" ht="15.75" customHeight="1" x14ac:dyDescent="0.25">
      <c r="C424" s="40"/>
      <c r="D424" s="41"/>
      <c r="E424" s="41"/>
      <c r="F424" s="40"/>
      <c r="G424" s="40"/>
    </row>
    <row r="425" spans="3:7" ht="15.75" customHeight="1" x14ac:dyDescent="0.25">
      <c r="C425" s="40"/>
      <c r="D425" s="41"/>
      <c r="E425" s="41"/>
      <c r="F425" s="40"/>
      <c r="G425" s="40"/>
    </row>
    <row r="426" spans="3:7" ht="15.75" customHeight="1" x14ac:dyDescent="0.25">
      <c r="C426" s="40"/>
      <c r="D426" s="41"/>
      <c r="E426" s="41"/>
      <c r="F426" s="40"/>
      <c r="G426" s="40"/>
    </row>
    <row r="427" spans="3:7" ht="15.75" customHeight="1" x14ac:dyDescent="0.25">
      <c r="C427" s="40"/>
      <c r="D427" s="41"/>
      <c r="E427" s="41"/>
      <c r="F427" s="40"/>
      <c r="G427" s="40"/>
    </row>
    <row r="428" spans="3:7" ht="15.75" customHeight="1" x14ac:dyDescent="0.25">
      <c r="C428" s="40"/>
      <c r="D428" s="41"/>
      <c r="E428" s="41"/>
      <c r="F428" s="40"/>
      <c r="G428" s="40"/>
    </row>
    <row r="429" spans="3:7" ht="15.75" customHeight="1" x14ac:dyDescent="0.25">
      <c r="C429" s="40"/>
      <c r="D429" s="41"/>
      <c r="E429" s="41"/>
      <c r="F429" s="40"/>
      <c r="G429" s="40"/>
    </row>
    <row r="430" spans="3:7" ht="15.75" customHeight="1" x14ac:dyDescent="0.25">
      <c r="C430" s="40"/>
      <c r="D430" s="41"/>
      <c r="E430" s="41"/>
      <c r="F430" s="40"/>
      <c r="G430" s="40"/>
    </row>
    <row r="431" spans="3:7" ht="15.75" customHeight="1" x14ac:dyDescent="0.25">
      <c r="C431" s="40"/>
      <c r="D431" s="41"/>
      <c r="E431" s="41"/>
      <c r="F431" s="40"/>
      <c r="G431" s="40"/>
    </row>
    <row r="432" spans="3:7" ht="15.75" customHeight="1" x14ac:dyDescent="0.25">
      <c r="C432" s="40"/>
      <c r="D432" s="41"/>
      <c r="E432" s="41"/>
      <c r="F432" s="40"/>
      <c r="G432" s="40"/>
    </row>
    <row r="433" spans="3:7" ht="15.75" customHeight="1" x14ac:dyDescent="0.25">
      <c r="C433" s="40"/>
      <c r="D433" s="41"/>
      <c r="E433" s="41"/>
      <c r="F433" s="40"/>
      <c r="G433" s="40"/>
    </row>
    <row r="434" spans="3:7" ht="15.75" customHeight="1" x14ac:dyDescent="0.25">
      <c r="C434" s="40"/>
      <c r="D434" s="41"/>
      <c r="E434" s="41"/>
      <c r="F434" s="40"/>
      <c r="G434" s="40"/>
    </row>
    <row r="435" spans="3:7" ht="15.75" customHeight="1" x14ac:dyDescent="0.25">
      <c r="C435" s="40"/>
      <c r="D435" s="41"/>
      <c r="E435" s="41"/>
      <c r="F435" s="40"/>
      <c r="G435" s="40"/>
    </row>
    <row r="436" spans="3:7" ht="15.75" customHeight="1" x14ac:dyDescent="0.25">
      <c r="C436" s="40"/>
      <c r="D436" s="41"/>
      <c r="E436" s="41"/>
      <c r="F436" s="40"/>
      <c r="G436" s="40"/>
    </row>
    <row r="437" spans="3:7" ht="15.75" customHeight="1" x14ac:dyDescent="0.25">
      <c r="C437" s="40"/>
      <c r="D437" s="41"/>
      <c r="E437" s="41"/>
      <c r="F437" s="40"/>
      <c r="G437" s="40"/>
    </row>
    <row r="438" spans="3:7" ht="15.75" customHeight="1" x14ac:dyDescent="0.25">
      <c r="C438" s="40"/>
      <c r="D438" s="41"/>
      <c r="E438" s="41"/>
      <c r="F438" s="40"/>
      <c r="G438" s="40"/>
    </row>
    <row r="439" spans="3:7" ht="15.75" customHeight="1" x14ac:dyDescent="0.25">
      <c r="C439" s="40"/>
      <c r="D439" s="41"/>
      <c r="E439" s="41"/>
      <c r="F439" s="40"/>
      <c r="G439" s="40"/>
    </row>
    <row r="440" spans="3:7" ht="15.75" customHeight="1" x14ac:dyDescent="0.25">
      <c r="C440" s="40"/>
      <c r="D440" s="41"/>
      <c r="E440" s="41"/>
      <c r="F440" s="40"/>
      <c r="G440" s="40"/>
    </row>
    <row r="441" spans="3:7" ht="15.75" customHeight="1" x14ac:dyDescent="0.25">
      <c r="C441" s="40"/>
      <c r="D441" s="41"/>
      <c r="E441" s="41"/>
      <c r="F441" s="40"/>
      <c r="G441" s="40"/>
    </row>
    <row r="442" spans="3:7" ht="15.75" customHeight="1" x14ac:dyDescent="0.25">
      <c r="C442" s="40"/>
      <c r="D442" s="41"/>
      <c r="E442" s="41"/>
      <c r="F442" s="40"/>
      <c r="G442" s="40"/>
    </row>
    <row r="443" spans="3:7" ht="15.75" customHeight="1" x14ac:dyDescent="0.25">
      <c r="C443" s="40"/>
      <c r="D443" s="41"/>
      <c r="E443" s="41"/>
      <c r="F443" s="40"/>
      <c r="G443" s="40"/>
    </row>
    <row r="444" spans="3:7" ht="15.75" customHeight="1" x14ac:dyDescent="0.25">
      <c r="C444" s="40"/>
      <c r="D444" s="41"/>
      <c r="E444" s="41"/>
      <c r="F444" s="40"/>
      <c r="G444" s="40"/>
    </row>
    <row r="445" spans="3:7" ht="15.75" customHeight="1" x14ac:dyDescent="0.25">
      <c r="C445" s="40"/>
      <c r="D445" s="41"/>
      <c r="E445" s="41"/>
      <c r="F445" s="40"/>
      <c r="G445" s="40"/>
    </row>
    <row r="446" spans="3:7" ht="15.75" customHeight="1" x14ac:dyDescent="0.25">
      <c r="C446" s="40"/>
      <c r="D446" s="41"/>
      <c r="E446" s="41"/>
      <c r="F446" s="40"/>
      <c r="G446" s="40"/>
    </row>
    <row r="447" spans="3:7" ht="15.75" customHeight="1" x14ac:dyDescent="0.25">
      <c r="C447" s="40"/>
      <c r="D447" s="41"/>
      <c r="E447" s="41"/>
      <c r="F447" s="40"/>
      <c r="G447" s="40"/>
    </row>
    <row r="448" spans="3:7" ht="15.75" customHeight="1" x14ac:dyDescent="0.25">
      <c r="C448" s="40"/>
      <c r="D448" s="41"/>
      <c r="E448" s="41"/>
      <c r="F448" s="40"/>
      <c r="G448" s="40"/>
    </row>
    <row r="449" spans="3:7" ht="15.75" customHeight="1" x14ac:dyDescent="0.25">
      <c r="C449" s="40"/>
      <c r="D449" s="41"/>
      <c r="E449" s="41"/>
      <c r="F449" s="40"/>
      <c r="G449" s="40"/>
    </row>
    <row r="450" spans="3:7" ht="15.75" customHeight="1" x14ac:dyDescent="0.25">
      <c r="C450" s="40"/>
      <c r="D450" s="41"/>
      <c r="E450" s="41"/>
      <c r="F450" s="40"/>
      <c r="G450" s="40"/>
    </row>
    <row r="451" spans="3:7" ht="15.75" customHeight="1" x14ac:dyDescent="0.25">
      <c r="C451" s="40"/>
      <c r="D451" s="41"/>
      <c r="E451" s="41"/>
      <c r="F451" s="40"/>
      <c r="G451" s="40"/>
    </row>
    <row r="452" spans="3:7" ht="15.75" customHeight="1" x14ac:dyDescent="0.25">
      <c r="C452" s="40"/>
      <c r="D452" s="41"/>
      <c r="E452" s="41"/>
      <c r="F452" s="40"/>
      <c r="G452" s="40"/>
    </row>
    <row r="453" spans="3:7" ht="15.75" customHeight="1" x14ac:dyDescent="0.25">
      <c r="C453" s="40"/>
      <c r="D453" s="41"/>
      <c r="E453" s="41"/>
      <c r="F453" s="40"/>
      <c r="G453" s="40"/>
    </row>
    <row r="454" spans="3:7" ht="15.75" customHeight="1" x14ac:dyDescent="0.25">
      <c r="C454" s="40"/>
      <c r="D454" s="41"/>
      <c r="E454" s="41"/>
      <c r="F454" s="40"/>
      <c r="G454" s="40"/>
    </row>
    <row r="455" spans="3:7" ht="15.75" customHeight="1" x14ac:dyDescent="0.25">
      <c r="C455" s="40"/>
      <c r="D455" s="41"/>
      <c r="E455" s="41"/>
      <c r="F455" s="40"/>
      <c r="G455" s="40"/>
    </row>
    <row r="456" spans="3:7" ht="15.75" customHeight="1" x14ac:dyDescent="0.25">
      <c r="C456" s="40"/>
      <c r="D456" s="41"/>
      <c r="E456" s="41"/>
      <c r="F456" s="40"/>
      <c r="G456" s="40"/>
    </row>
    <row r="457" spans="3:7" ht="15.75" customHeight="1" x14ac:dyDescent="0.25">
      <c r="C457" s="40"/>
      <c r="D457" s="41"/>
      <c r="E457" s="41"/>
      <c r="F457" s="40"/>
      <c r="G457" s="40"/>
    </row>
    <row r="458" spans="3:7" ht="15.75" customHeight="1" x14ac:dyDescent="0.25">
      <c r="C458" s="40"/>
      <c r="D458" s="41"/>
      <c r="E458" s="41"/>
      <c r="F458" s="40"/>
      <c r="G458" s="40"/>
    </row>
    <row r="459" spans="3:7" ht="15.75" customHeight="1" x14ac:dyDescent="0.25">
      <c r="C459" s="40"/>
      <c r="D459" s="41"/>
      <c r="E459" s="41"/>
      <c r="F459" s="40"/>
      <c r="G459" s="40"/>
    </row>
    <row r="460" spans="3:7" ht="15.75" customHeight="1" x14ac:dyDescent="0.25">
      <c r="C460" s="40"/>
      <c r="D460" s="41"/>
      <c r="E460" s="41"/>
      <c r="F460" s="40"/>
      <c r="G460" s="40"/>
    </row>
    <row r="461" spans="3:7" ht="15.75" customHeight="1" x14ac:dyDescent="0.25">
      <c r="C461" s="40"/>
      <c r="D461" s="41"/>
      <c r="E461" s="41"/>
      <c r="F461" s="40"/>
      <c r="G461" s="40"/>
    </row>
    <row r="462" spans="3:7" ht="15.75" customHeight="1" x14ac:dyDescent="0.25">
      <c r="C462" s="40"/>
      <c r="D462" s="41"/>
      <c r="E462" s="41"/>
      <c r="F462" s="40"/>
      <c r="G462" s="40"/>
    </row>
    <row r="463" spans="3:7" ht="15.75" customHeight="1" x14ac:dyDescent="0.25">
      <c r="C463" s="40"/>
      <c r="D463" s="41"/>
      <c r="E463" s="41"/>
      <c r="F463" s="40"/>
      <c r="G463" s="40"/>
    </row>
    <row r="464" spans="3:7" ht="15.75" customHeight="1" x14ac:dyDescent="0.25">
      <c r="C464" s="40"/>
      <c r="D464" s="41"/>
      <c r="E464" s="41"/>
      <c r="F464" s="40"/>
      <c r="G464" s="40"/>
    </row>
    <row r="465" spans="3:7" ht="15.75" customHeight="1" x14ac:dyDescent="0.25">
      <c r="C465" s="40"/>
      <c r="D465" s="41"/>
      <c r="E465" s="41"/>
      <c r="F465" s="40"/>
      <c r="G465" s="40"/>
    </row>
    <row r="466" spans="3:7" ht="15.75" customHeight="1" x14ac:dyDescent="0.25">
      <c r="C466" s="40"/>
      <c r="D466" s="41"/>
      <c r="E466" s="41"/>
      <c r="F466" s="40"/>
      <c r="G466" s="40"/>
    </row>
    <row r="467" spans="3:7" ht="15.75" customHeight="1" x14ac:dyDescent="0.25">
      <c r="C467" s="40"/>
      <c r="D467" s="41"/>
      <c r="E467" s="41"/>
      <c r="F467" s="40"/>
      <c r="G467" s="40"/>
    </row>
    <row r="468" spans="3:7" ht="15.75" customHeight="1" x14ac:dyDescent="0.25">
      <c r="C468" s="40"/>
      <c r="D468" s="41"/>
      <c r="E468" s="41"/>
      <c r="F468" s="40"/>
      <c r="G468" s="40"/>
    </row>
    <row r="469" spans="3:7" ht="15.75" customHeight="1" x14ac:dyDescent="0.25">
      <c r="C469" s="40"/>
      <c r="D469" s="41"/>
      <c r="E469" s="41"/>
      <c r="F469" s="40"/>
      <c r="G469" s="40"/>
    </row>
    <row r="470" spans="3:7" ht="15.75" customHeight="1" x14ac:dyDescent="0.25">
      <c r="C470" s="40"/>
      <c r="D470" s="41"/>
      <c r="E470" s="41"/>
      <c r="F470" s="40"/>
      <c r="G470" s="40"/>
    </row>
    <row r="471" spans="3:7" ht="15.75" customHeight="1" x14ac:dyDescent="0.25">
      <c r="C471" s="40"/>
      <c r="D471" s="41"/>
      <c r="E471" s="41"/>
      <c r="F471" s="40"/>
      <c r="G471" s="40"/>
    </row>
    <row r="472" spans="3:7" ht="15.75" customHeight="1" x14ac:dyDescent="0.25">
      <c r="C472" s="40"/>
      <c r="D472" s="41"/>
      <c r="E472" s="41"/>
      <c r="F472" s="40"/>
      <c r="G472" s="40"/>
    </row>
    <row r="473" spans="3:7" ht="15.75" customHeight="1" x14ac:dyDescent="0.25">
      <c r="C473" s="40"/>
      <c r="D473" s="41"/>
      <c r="E473" s="41"/>
      <c r="F473" s="40"/>
      <c r="G473" s="40"/>
    </row>
    <row r="474" spans="3:7" ht="15.75" customHeight="1" x14ac:dyDescent="0.25">
      <c r="C474" s="40"/>
      <c r="D474" s="41"/>
      <c r="E474" s="41"/>
      <c r="F474" s="40"/>
      <c r="G474" s="40"/>
    </row>
    <row r="475" spans="3:7" ht="15.75" customHeight="1" x14ac:dyDescent="0.25">
      <c r="C475" s="40"/>
      <c r="D475" s="41"/>
      <c r="E475" s="41"/>
      <c r="F475" s="40"/>
      <c r="G475" s="40"/>
    </row>
    <row r="476" spans="3:7" ht="15.75" customHeight="1" x14ac:dyDescent="0.25">
      <c r="C476" s="40"/>
      <c r="D476" s="41"/>
      <c r="E476" s="41"/>
      <c r="F476" s="40"/>
      <c r="G476" s="40"/>
    </row>
    <row r="477" spans="3:7" ht="15.75" customHeight="1" x14ac:dyDescent="0.25">
      <c r="C477" s="40"/>
      <c r="D477" s="41"/>
      <c r="E477" s="41"/>
      <c r="F477" s="40"/>
      <c r="G477" s="40"/>
    </row>
    <row r="478" spans="3:7" ht="15.75" customHeight="1" x14ac:dyDescent="0.25">
      <c r="C478" s="40"/>
      <c r="D478" s="41"/>
      <c r="E478" s="41"/>
      <c r="F478" s="40"/>
      <c r="G478" s="40"/>
    </row>
    <row r="479" spans="3:7" ht="15.75" customHeight="1" x14ac:dyDescent="0.25">
      <c r="C479" s="40"/>
      <c r="D479" s="41"/>
      <c r="E479" s="41"/>
      <c r="F479" s="40"/>
      <c r="G479" s="40"/>
    </row>
    <row r="480" spans="3:7" ht="15.75" customHeight="1" x14ac:dyDescent="0.25">
      <c r="C480" s="40"/>
      <c r="D480" s="41"/>
      <c r="E480" s="41"/>
      <c r="F480" s="40"/>
      <c r="G480" s="40"/>
    </row>
    <row r="481" spans="3:7" ht="15.75" customHeight="1" x14ac:dyDescent="0.25">
      <c r="C481" s="40"/>
      <c r="D481" s="41"/>
      <c r="E481" s="41"/>
      <c r="F481" s="40"/>
      <c r="G481" s="40"/>
    </row>
    <row r="482" spans="3:7" ht="15.75" customHeight="1" x14ac:dyDescent="0.25">
      <c r="C482" s="40"/>
      <c r="D482" s="41"/>
      <c r="E482" s="41"/>
      <c r="F482" s="40"/>
      <c r="G482" s="40"/>
    </row>
    <row r="483" spans="3:7" ht="15.75" customHeight="1" x14ac:dyDescent="0.25">
      <c r="C483" s="40"/>
      <c r="D483" s="41"/>
      <c r="E483" s="41"/>
      <c r="F483" s="40"/>
      <c r="G483" s="40"/>
    </row>
    <row r="484" spans="3:7" ht="15.75" customHeight="1" x14ac:dyDescent="0.25">
      <c r="C484" s="40"/>
      <c r="D484" s="41"/>
      <c r="E484" s="41"/>
      <c r="F484" s="40"/>
      <c r="G484" s="40"/>
    </row>
    <row r="485" spans="3:7" ht="15.75" customHeight="1" x14ac:dyDescent="0.25">
      <c r="C485" s="40"/>
      <c r="D485" s="41"/>
      <c r="E485" s="41"/>
      <c r="F485" s="40"/>
      <c r="G485" s="40"/>
    </row>
    <row r="486" spans="3:7" ht="15.75" customHeight="1" x14ac:dyDescent="0.25">
      <c r="C486" s="40"/>
      <c r="D486" s="41"/>
      <c r="E486" s="41"/>
      <c r="F486" s="40"/>
      <c r="G486" s="40"/>
    </row>
    <row r="487" spans="3:7" ht="15.75" customHeight="1" x14ac:dyDescent="0.25">
      <c r="C487" s="40"/>
      <c r="D487" s="41"/>
      <c r="E487" s="41"/>
      <c r="F487" s="40"/>
      <c r="G487" s="40"/>
    </row>
    <row r="488" spans="3:7" ht="15.75" customHeight="1" x14ac:dyDescent="0.25">
      <c r="C488" s="40"/>
      <c r="D488" s="41"/>
      <c r="E488" s="41"/>
      <c r="F488" s="40"/>
      <c r="G488" s="40"/>
    </row>
    <row r="489" spans="3:7" ht="15.75" customHeight="1" x14ac:dyDescent="0.25">
      <c r="C489" s="40"/>
      <c r="D489" s="41"/>
      <c r="E489" s="41"/>
      <c r="F489" s="40"/>
      <c r="G489" s="40"/>
    </row>
    <row r="490" spans="3:7" ht="15.75" customHeight="1" x14ac:dyDescent="0.25">
      <c r="C490" s="40"/>
      <c r="D490" s="41"/>
      <c r="E490" s="41"/>
      <c r="F490" s="40"/>
      <c r="G490" s="40"/>
    </row>
    <row r="491" spans="3:7" ht="15.75" customHeight="1" x14ac:dyDescent="0.25">
      <c r="C491" s="40"/>
      <c r="D491" s="41"/>
      <c r="E491" s="41"/>
      <c r="F491" s="40"/>
      <c r="G491" s="40"/>
    </row>
    <row r="492" spans="3:7" ht="15.75" customHeight="1" x14ac:dyDescent="0.25">
      <c r="C492" s="40"/>
      <c r="D492" s="41"/>
      <c r="E492" s="41"/>
      <c r="F492" s="40"/>
      <c r="G492" s="40"/>
    </row>
    <row r="493" spans="3:7" ht="15.75" customHeight="1" x14ac:dyDescent="0.25">
      <c r="C493" s="40"/>
      <c r="D493" s="41"/>
      <c r="E493" s="41"/>
      <c r="F493" s="40"/>
      <c r="G493" s="40"/>
    </row>
    <row r="494" spans="3:7" ht="15.75" customHeight="1" x14ac:dyDescent="0.25">
      <c r="C494" s="40"/>
      <c r="D494" s="41"/>
      <c r="E494" s="41"/>
      <c r="F494" s="40"/>
      <c r="G494" s="40"/>
    </row>
    <row r="495" spans="3:7" ht="15.75" customHeight="1" x14ac:dyDescent="0.25">
      <c r="C495" s="40"/>
      <c r="D495" s="41"/>
      <c r="E495" s="41"/>
      <c r="F495" s="40"/>
      <c r="G495" s="40"/>
    </row>
    <row r="496" spans="3:7" ht="15.75" customHeight="1" x14ac:dyDescent="0.25">
      <c r="C496" s="40"/>
      <c r="D496" s="41"/>
      <c r="E496" s="41"/>
      <c r="F496" s="40"/>
      <c r="G496" s="40"/>
    </row>
    <row r="497" spans="3:7" ht="15.75" customHeight="1" x14ac:dyDescent="0.25">
      <c r="C497" s="40"/>
      <c r="D497" s="41"/>
      <c r="E497" s="41"/>
      <c r="F497" s="40"/>
      <c r="G497" s="40"/>
    </row>
    <row r="498" spans="3:7" ht="15.75" customHeight="1" x14ac:dyDescent="0.25">
      <c r="C498" s="40"/>
      <c r="D498" s="41"/>
      <c r="E498" s="41"/>
      <c r="F498" s="40"/>
      <c r="G498" s="40"/>
    </row>
    <row r="499" spans="3:7" ht="15.75" customHeight="1" x14ac:dyDescent="0.25">
      <c r="C499" s="40"/>
      <c r="D499" s="41"/>
      <c r="E499" s="41"/>
      <c r="F499" s="40"/>
      <c r="G499" s="40"/>
    </row>
    <row r="500" spans="3:7" ht="15.75" customHeight="1" x14ac:dyDescent="0.25">
      <c r="C500" s="40"/>
      <c r="D500" s="41"/>
      <c r="E500" s="41"/>
      <c r="F500" s="40"/>
      <c r="G500" s="40"/>
    </row>
    <row r="501" spans="3:7" ht="15.75" customHeight="1" x14ac:dyDescent="0.25">
      <c r="C501" s="40"/>
      <c r="D501" s="41"/>
      <c r="E501" s="41"/>
      <c r="F501" s="40"/>
      <c r="G501" s="40"/>
    </row>
    <row r="502" spans="3:7" ht="15.75" customHeight="1" x14ac:dyDescent="0.25">
      <c r="C502" s="40"/>
      <c r="D502" s="41"/>
      <c r="E502" s="41"/>
      <c r="F502" s="40"/>
      <c r="G502" s="40"/>
    </row>
    <row r="503" spans="3:7" ht="15.75" customHeight="1" x14ac:dyDescent="0.25">
      <c r="C503" s="40"/>
      <c r="D503" s="41"/>
      <c r="E503" s="41"/>
      <c r="F503" s="40"/>
      <c r="G503" s="40"/>
    </row>
    <row r="504" spans="3:7" ht="15.75" customHeight="1" x14ac:dyDescent="0.25">
      <c r="C504" s="40"/>
      <c r="D504" s="41"/>
      <c r="E504" s="41"/>
      <c r="F504" s="40"/>
      <c r="G504" s="40"/>
    </row>
    <row r="505" spans="3:7" ht="15.75" customHeight="1" x14ac:dyDescent="0.25">
      <c r="C505" s="40"/>
      <c r="D505" s="41"/>
      <c r="E505" s="41"/>
      <c r="F505" s="40"/>
      <c r="G505" s="40"/>
    </row>
    <row r="506" spans="3:7" ht="15.75" customHeight="1" x14ac:dyDescent="0.25">
      <c r="C506" s="40"/>
      <c r="D506" s="41"/>
      <c r="E506" s="41"/>
      <c r="F506" s="40"/>
      <c r="G506" s="40"/>
    </row>
    <row r="507" spans="3:7" ht="15.75" customHeight="1" x14ac:dyDescent="0.25">
      <c r="C507" s="40"/>
      <c r="D507" s="41"/>
      <c r="E507" s="41"/>
      <c r="F507" s="40"/>
      <c r="G507" s="40"/>
    </row>
    <row r="508" spans="3:7" ht="15.75" customHeight="1" x14ac:dyDescent="0.25">
      <c r="C508" s="40"/>
      <c r="D508" s="41"/>
      <c r="E508" s="41"/>
      <c r="F508" s="40"/>
      <c r="G508" s="40"/>
    </row>
    <row r="509" spans="3:7" ht="15.75" customHeight="1" x14ac:dyDescent="0.25">
      <c r="C509" s="40"/>
      <c r="D509" s="41"/>
      <c r="E509" s="41"/>
      <c r="F509" s="40"/>
      <c r="G509" s="40"/>
    </row>
    <row r="510" spans="3:7" ht="15.75" customHeight="1" x14ac:dyDescent="0.25">
      <c r="C510" s="40"/>
      <c r="D510" s="41"/>
      <c r="E510" s="41"/>
      <c r="F510" s="40"/>
      <c r="G510" s="40"/>
    </row>
    <row r="511" spans="3:7" ht="15.75" customHeight="1" x14ac:dyDescent="0.25">
      <c r="C511" s="40"/>
      <c r="D511" s="41"/>
      <c r="E511" s="41"/>
      <c r="F511" s="40"/>
      <c r="G511" s="40"/>
    </row>
    <row r="512" spans="3:7" ht="15.75" customHeight="1" x14ac:dyDescent="0.25">
      <c r="C512" s="40"/>
      <c r="D512" s="41"/>
      <c r="E512" s="41"/>
      <c r="F512" s="40"/>
      <c r="G512" s="40"/>
    </row>
    <row r="513" spans="3:7" ht="15.75" customHeight="1" x14ac:dyDescent="0.25">
      <c r="C513" s="40"/>
      <c r="D513" s="41"/>
      <c r="E513" s="41"/>
      <c r="F513" s="40"/>
      <c r="G513" s="40"/>
    </row>
    <row r="514" spans="3:7" ht="15.75" customHeight="1" x14ac:dyDescent="0.25">
      <c r="C514" s="40"/>
      <c r="D514" s="41"/>
      <c r="E514" s="41"/>
      <c r="F514" s="40"/>
      <c r="G514" s="40"/>
    </row>
    <row r="515" spans="3:7" ht="15.75" customHeight="1" x14ac:dyDescent="0.25">
      <c r="C515" s="40"/>
      <c r="D515" s="41"/>
      <c r="E515" s="41"/>
      <c r="F515" s="40"/>
      <c r="G515" s="40"/>
    </row>
    <row r="516" spans="3:7" ht="15.75" customHeight="1" x14ac:dyDescent="0.25">
      <c r="C516" s="40"/>
      <c r="D516" s="41"/>
      <c r="E516" s="41"/>
      <c r="F516" s="40"/>
      <c r="G516" s="40"/>
    </row>
    <row r="517" spans="3:7" ht="15.75" customHeight="1" x14ac:dyDescent="0.25">
      <c r="C517" s="40"/>
      <c r="D517" s="41"/>
      <c r="E517" s="41"/>
      <c r="F517" s="40"/>
      <c r="G517" s="40"/>
    </row>
    <row r="518" spans="3:7" ht="15.75" customHeight="1" x14ac:dyDescent="0.25">
      <c r="C518" s="40"/>
      <c r="D518" s="41"/>
      <c r="E518" s="41"/>
      <c r="F518" s="40"/>
      <c r="G518" s="40"/>
    </row>
    <row r="519" spans="3:7" ht="15.75" customHeight="1" x14ac:dyDescent="0.25">
      <c r="C519" s="40"/>
      <c r="D519" s="41"/>
      <c r="E519" s="41"/>
      <c r="F519" s="40"/>
      <c r="G519" s="40"/>
    </row>
    <row r="520" spans="3:7" ht="15.75" customHeight="1" x14ac:dyDescent="0.25">
      <c r="C520" s="40"/>
      <c r="D520" s="41"/>
      <c r="E520" s="41"/>
      <c r="F520" s="40"/>
      <c r="G520" s="40"/>
    </row>
    <row r="521" spans="3:7" ht="15.75" customHeight="1" x14ac:dyDescent="0.25">
      <c r="C521" s="40"/>
      <c r="D521" s="41"/>
      <c r="E521" s="41"/>
      <c r="F521" s="40"/>
      <c r="G521" s="40"/>
    </row>
    <row r="522" spans="3:7" ht="15.75" customHeight="1" x14ac:dyDescent="0.25">
      <c r="C522" s="40"/>
      <c r="D522" s="41"/>
      <c r="E522" s="41"/>
      <c r="F522" s="40"/>
      <c r="G522" s="40"/>
    </row>
    <row r="523" spans="3:7" ht="15.75" customHeight="1" x14ac:dyDescent="0.25">
      <c r="C523" s="40"/>
      <c r="D523" s="41"/>
      <c r="E523" s="41"/>
      <c r="F523" s="40"/>
      <c r="G523" s="40"/>
    </row>
    <row r="524" spans="3:7" ht="15.75" customHeight="1" x14ac:dyDescent="0.25">
      <c r="C524" s="40"/>
      <c r="D524" s="41"/>
      <c r="E524" s="41"/>
      <c r="F524" s="40"/>
      <c r="G524" s="40"/>
    </row>
    <row r="525" spans="3:7" ht="15.75" customHeight="1" x14ac:dyDescent="0.25">
      <c r="C525" s="40"/>
      <c r="D525" s="41"/>
      <c r="E525" s="41"/>
      <c r="F525" s="40"/>
      <c r="G525" s="40"/>
    </row>
    <row r="526" spans="3:7" ht="15.75" customHeight="1" x14ac:dyDescent="0.25">
      <c r="C526" s="40"/>
      <c r="D526" s="41"/>
      <c r="E526" s="41"/>
      <c r="F526" s="40"/>
      <c r="G526" s="40"/>
    </row>
    <row r="527" spans="3:7" ht="15.75" customHeight="1" x14ac:dyDescent="0.25">
      <c r="C527" s="40"/>
      <c r="D527" s="41"/>
      <c r="E527" s="41"/>
      <c r="F527" s="40"/>
      <c r="G527" s="40"/>
    </row>
    <row r="528" spans="3:7" ht="15.75" customHeight="1" x14ac:dyDescent="0.25">
      <c r="C528" s="40"/>
      <c r="D528" s="41"/>
      <c r="E528" s="41"/>
      <c r="F528" s="40"/>
      <c r="G528" s="40"/>
    </row>
    <row r="529" spans="3:7" ht="15.75" customHeight="1" x14ac:dyDescent="0.25">
      <c r="C529" s="40"/>
      <c r="D529" s="41"/>
      <c r="E529" s="41"/>
      <c r="F529" s="40"/>
      <c r="G529" s="40"/>
    </row>
    <row r="530" spans="3:7" ht="15.75" customHeight="1" x14ac:dyDescent="0.25">
      <c r="C530" s="40"/>
      <c r="D530" s="41"/>
      <c r="E530" s="41"/>
      <c r="F530" s="40"/>
      <c r="G530" s="40"/>
    </row>
    <row r="531" spans="3:7" ht="15.75" customHeight="1" x14ac:dyDescent="0.25">
      <c r="C531" s="40"/>
      <c r="D531" s="41"/>
      <c r="E531" s="41"/>
      <c r="F531" s="40"/>
      <c r="G531" s="40"/>
    </row>
    <row r="532" spans="3:7" ht="15.75" customHeight="1" x14ac:dyDescent="0.25">
      <c r="C532" s="40"/>
      <c r="D532" s="41"/>
      <c r="E532" s="41"/>
      <c r="F532" s="40"/>
      <c r="G532" s="40"/>
    </row>
    <row r="533" spans="3:7" ht="15.75" customHeight="1" x14ac:dyDescent="0.25">
      <c r="C533" s="40"/>
      <c r="D533" s="41"/>
      <c r="E533" s="41"/>
      <c r="F533" s="40"/>
      <c r="G533" s="40"/>
    </row>
    <row r="534" spans="3:7" ht="15.75" customHeight="1" x14ac:dyDescent="0.25">
      <c r="C534" s="40"/>
      <c r="D534" s="41"/>
      <c r="E534" s="41"/>
      <c r="F534" s="40"/>
      <c r="G534" s="40"/>
    </row>
    <row r="535" spans="3:7" ht="15.75" customHeight="1" x14ac:dyDescent="0.25">
      <c r="C535" s="40"/>
      <c r="D535" s="41"/>
      <c r="E535" s="41"/>
      <c r="F535" s="40"/>
      <c r="G535" s="40"/>
    </row>
    <row r="536" spans="3:7" ht="15.75" customHeight="1" x14ac:dyDescent="0.25">
      <c r="C536" s="40"/>
      <c r="D536" s="41"/>
      <c r="E536" s="41"/>
      <c r="F536" s="40"/>
      <c r="G536" s="40"/>
    </row>
    <row r="537" spans="3:7" ht="15.75" customHeight="1" x14ac:dyDescent="0.25">
      <c r="C537" s="40"/>
      <c r="D537" s="41"/>
      <c r="E537" s="41"/>
      <c r="F537" s="40"/>
      <c r="G537" s="40"/>
    </row>
    <row r="538" spans="3:7" ht="15.75" customHeight="1" x14ac:dyDescent="0.25">
      <c r="C538" s="40"/>
      <c r="D538" s="41"/>
      <c r="E538" s="41"/>
      <c r="F538" s="40"/>
      <c r="G538" s="40"/>
    </row>
    <row r="539" spans="3:7" ht="15.75" customHeight="1" x14ac:dyDescent="0.25">
      <c r="C539" s="40"/>
      <c r="D539" s="41"/>
      <c r="E539" s="41"/>
      <c r="F539" s="40"/>
      <c r="G539" s="40"/>
    </row>
    <row r="540" spans="3:7" ht="15.75" customHeight="1" x14ac:dyDescent="0.25">
      <c r="C540" s="40"/>
      <c r="D540" s="41"/>
      <c r="E540" s="41"/>
      <c r="F540" s="40"/>
      <c r="G540" s="40"/>
    </row>
    <row r="541" spans="3:7" ht="15.75" customHeight="1" x14ac:dyDescent="0.25">
      <c r="C541" s="40"/>
      <c r="D541" s="41"/>
      <c r="E541" s="41"/>
      <c r="F541" s="40"/>
      <c r="G541" s="40"/>
    </row>
    <row r="542" spans="3:7" ht="15.75" customHeight="1" x14ac:dyDescent="0.25">
      <c r="C542" s="40"/>
      <c r="D542" s="41"/>
      <c r="E542" s="41"/>
      <c r="F542" s="40"/>
      <c r="G542" s="40"/>
    </row>
    <row r="543" spans="3:7" ht="15.75" customHeight="1" x14ac:dyDescent="0.25">
      <c r="C543" s="40"/>
      <c r="D543" s="41"/>
      <c r="E543" s="41"/>
      <c r="F543" s="40"/>
      <c r="G543" s="40"/>
    </row>
    <row r="544" spans="3:7" ht="15.75" customHeight="1" x14ac:dyDescent="0.25">
      <c r="C544" s="40"/>
      <c r="D544" s="41"/>
      <c r="E544" s="41"/>
      <c r="F544" s="40"/>
      <c r="G544" s="40"/>
    </row>
    <row r="545" spans="3:7" ht="15.75" customHeight="1" x14ac:dyDescent="0.25">
      <c r="C545" s="40"/>
      <c r="D545" s="41"/>
      <c r="E545" s="41"/>
      <c r="F545" s="40"/>
      <c r="G545" s="40"/>
    </row>
    <row r="546" spans="3:7" ht="15.75" customHeight="1" x14ac:dyDescent="0.25">
      <c r="C546" s="40"/>
      <c r="D546" s="41"/>
      <c r="E546" s="41"/>
      <c r="F546" s="40"/>
      <c r="G546" s="40"/>
    </row>
    <row r="547" spans="3:7" ht="15.75" customHeight="1" x14ac:dyDescent="0.25">
      <c r="C547" s="40"/>
      <c r="D547" s="41"/>
      <c r="E547" s="41"/>
      <c r="F547" s="40"/>
      <c r="G547" s="40"/>
    </row>
    <row r="548" spans="3:7" ht="15.75" customHeight="1" x14ac:dyDescent="0.25">
      <c r="C548" s="40"/>
      <c r="D548" s="41"/>
      <c r="E548" s="41"/>
      <c r="F548" s="40"/>
      <c r="G548" s="40"/>
    </row>
    <row r="549" spans="3:7" ht="15.75" customHeight="1" x14ac:dyDescent="0.25">
      <c r="C549" s="40"/>
      <c r="D549" s="41"/>
      <c r="E549" s="41"/>
      <c r="F549" s="40"/>
      <c r="G549" s="40"/>
    </row>
    <row r="550" spans="3:7" ht="15.75" customHeight="1" x14ac:dyDescent="0.25">
      <c r="C550" s="40"/>
      <c r="D550" s="41"/>
      <c r="E550" s="41"/>
      <c r="F550" s="40"/>
      <c r="G550" s="40"/>
    </row>
    <row r="551" spans="3:7" ht="15.75" customHeight="1" x14ac:dyDescent="0.25">
      <c r="C551" s="40"/>
      <c r="D551" s="41"/>
      <c r="E551" s="41"/>
      <c r="F551" s="40"/>
      <c r="G551" s="40"/>
    </row>
    <row r="552" spans="3:7" ht="15.75" customHeight="1" x14ac:dyDescent="0.25">
      <c r="C552" s="40"/>
      <c r="D552" s="41"/>
      <c r="E552" s="41"/>
      <c r="F552" s="40"/>
      <c r="G552" s="40"/>
    </row>
    <row r="553" spans="3:7" ht="15.75" customHeight="1" x14ac:dyDescent="0.25">
      <c r="C553" s="40"/>
      <c r="D553" s="41"/>
      <c r="E553" s="41"/>
      <c r="F553" s="40"/>
      <c r="G553" s="40"/>
    </row>
    <row r="554" spans="3:7" ht="15.75" customHeight="1" x14ac:dyDescent="0.25">
      <c r="C554" s="40"/>
      <c r="D554" s="41"/>
      <c r="E554" s="41"/>
      <c r="F554" s="40"/>
      <c r="G554" s="40"/>
    </row>
    <row r="555" spans="3:7" ht="15.75" customHeight="1" x14ac:dyDescent="0.25">
      <c r="C555" s="40"/>
      <c r="D555" s="41"/>
      <c r="E555" s="41"/>
      <c r="F555" s="40"/>
      <c r="G555" s="40"/>
    </row>
    <row r="556" spans="3:7" ht="15.75" customHeight="1" x14ac:dyDescent="0.25">
      <c r="C556" s="40"/>
      <c r="D556" s="41"/>
      <c r="E556" s="41"/>
      <c r="F556" s="40"/>
      <c r="G556" s="40"/>
    </row>
    <row r="557" spans="3:7" ht="15.75" customHeight="1" x14ac:dyDescent="0.25">
      <c r="C557" s="40"/>
      <c r="D557" s="41"/>
      <c r="E557" s="41"/>
      <c r="F557" s="40"/>
      <c r="G557" s="40"/>
    </row>
    <row r="558" spans="3:7" ht="15.75" customHeight="1" x14ac:dyDescent="0.25">
      <c r="C558" s="40"/>
      <c r="D558" s="41"/>
      <c r="E558" s="41"/>
      <c r="F558" s="40"/>
      <c r="G558" s="40"/>
    </row>
    <row r="559" spans="3:7" ht="15.75" customHeight="1" x14ac:dyDescent="0.25">
      <c r="C559" s="40"/>
      <c r="D559" s="41"/>
      <c r="E559" s="41"/>
      <c r="F559" s="40"/>
      <c r="G559" s="40"/>
    </row>
    <row r="560" spans="3:7" ht="15.75" customHeight="1" x14ac:dyDescent="0.25">
      <c r="C560" s="40"/>
      <c r="D560" s="41"/>
      <c r="E560" s="41"/>
      <c r="F560" s="40"/>
      <c r="G560" s="40"/>
    </row>
    <row r="561" spans="3:7" ht="15.75" customHeight="1" x14ac:dyDescent="0.25">
      <c r="C561" s="40"/>
      <c r="D561" s="41"/>
      <c r="E561" s="41"/>
      <c r="F561" s="40"/>
      <c r="G561" s="40"/>
    </row>
    <row r="562" spans="3:7" ht="15.75" customHeight="1" x14ac:dyDescent="0.25">
      <c r="C562" s="40"/>
      <c r="D562" s="41"/>
      <c r="E562" s="41"/>
      <c r="F562" s="40"/>
      <c r="G562" s="40"/>
    </row>
    <row r="563" spans="3:7" ht="15.75" customHeight="1" x14ac:dyDescent="0.25">
      <c r="C563" s="40"/>
      <c r="D563" s="41"/>
      <c r="E563" s="41"/>
      <c r="F563" s="40"/>
      <c r="G563" s="40"/>
    </row>
    <row r="564" spans="3:7" ht="15.75" customHeight="1" x14ac:dyDescent="0.25">
      <c r="C564" s="40"/>
      <c r="D564" s="41"/>
      <c r="E564" s="41"/>
      <c r="F564" s="40"/>
      <c r="G564" s="40"/>
    </row>
    <row r="565" spans="3:7" ht="15.75" customHeight="1" x14ac:dyDescent="0.25">
      <c r="C565" s="40"/>
      <c r="D565" s="41"/>
      <c r="E565" s="41"/>
      <c r="F565" s="40"/>
      <c r="G565" s="40"/>
    </row>
    <row r="566" spans="3:7" ht="15.75" customHeight="1" x14ac:dyDescent="0.25">
      <c r="C566" s="40"/>
      <c r="D566" s="41"/>
      <c r="E566" s="41"/>
      <c r="F566" s="40"/>
      <c r="G566" s="40"/>
    </row>
    <row r="567" spans="3:7" ht="15.75" customHeight="1" x14ac:dyDescent="0.25">
      <c r="C567" s="40"/>
      <c r="D567" s="41"/>
      <c r="E567" s="41"/>
      <c r="F567" s="40"/>
      <c r="G567" s="40"/>
    </row>
    <row r="568" spans="3:7" ht="15.75" customHeight="1" x14ac:dyDescent="0.25">
      <c r="C568" s="40"/>
      <c r="D568" s="41"/>
      <c r="E568" s="41"/>
      <c r="F568" s="40"/>
      <c r="G568" s="40"/>
    </row>
    <row r="569" spans="3:7" ht="15.75" customHeight="1" x14ac:dyDescent="0.25">
      <c r="C569" s="40"/>
      <c r="D569" s="41"/>
      <c r="E569" s="41"/>
      <c r="F569" s="40"/>
      <c r="G569" s="40"/>
    </row>
    <row r="570" spans="3:7" ht="15.75" customHeight="1" x14ac:dyDescent="0.25">
      <c r="C570" s="40"/>
      <c r="D570" s="41"/>
      <c r="E570" s="41"/>
      <c r="F570" s="40"/>
      <c r="G570" s="40"/>
    </row>
    <row r="571" spans="3:7" ht="15.75" customHeight="1" x14ac:dyDescent="0.25">
      <c r="C571" s="40"/>
      <c r="D571" s="41"/>
      <c r="E571" s="41"/>
      <c r="F571" s="40"/>
      <c r="G571" s="40"/>
    </row>
    <row r="572" spans="3:7" ht="15.75" customHeight="1" x14ac:dyDescent="0.25">
      <c r="C572" s="40"/>
      <c r="D572" s="41"/>
      <c r="E572" s="41"/>
      <c r="F572" s="40"/>
      <c r="G572" s="40"/>
    </row>
    <row r="573" spans="3:7" ht="15.75" customHeight="1" x14ac:dyDescent="0.25">
      <c r="C573" s="40"/>
      <c r="D573" s="41"/>
      <c r="E573" s="41"/>
      <c r="F573" s="40"/>
      <c r="G573" s="40"/>
    </row>
    <row r="574" spans="3:7" ht="15.75" customHeight="1" x14ac:dyDescent="0.25">
      <c r="C574" s="40"/>
      <c r="D574" s="41"/>
      <c r="E574" s="41"/>
      <c r="F574" s="40"/>
      <c r="G574" s="40"/>
    </row>
    <row r="575" spans="3:7" ht="15.75" customHeight="1" x14ac:dyDescent="0.25">
      <c r="C575" s="40"/>
      <c r="D575" s="41"/>
      <c r="E575" s="41"/>
      <c r="F575" s="40"/>
      <c r="G575" s="40"/>
    </row>
    <row r="576" spans="3:7" ht="15.75" customHeight="1" x14ac:dyDescent="0.25">
      <c r="C576" s="40"/>
      <c r="D576" s="41"/>
      <c r="E576" s="41"/>
      <c r="F576" s="40"/>
      <c r="G576" s="40"/>
    </row>
    <row r="577" spans="3:7" ht="15.75" customHeight="1" x14ac:dyDescent="0.25">
      <c r="C577" s="40"/>
      <c r="D577" s="41"/>
      <c r="E577" s="41"/>
      <c r="F577" s="40"/>
      <c r="G577" s="40"/>
    </row>
    <row r="578" spans="3:7" ht="15.75" customHeight="1" x14ac:dyDescent="0.25">
      <c r="C578" s="40"/>
      <c r="D578" s="41"/>
      <c r="E578" s="41"/>
      <c r="F578" s="40"/>
      <c r="G578" s="40"/>
    </row>
    <row r="579" spans="3:7" ht="15.75" customHeight="1" x14ac:dyDescent="0.25">
      <c r="C579" s="40"/>
      <c r="D579" s="41"/>
      <c r="E579" s="41"/>
      <c r="F579" s="40"/>
      <c r="G579" s="40"/>
    </row>
    <row r="580" spans="3:7" ht="15.75" customHeight="1" x14ac:dyDescent="0.25">
      <c r="C580" s="40"/>
      <c r="D580" s="41"/>
      <c r="E580" s="41"/>
      <c r="F580" s="40"/>
      <c r="G580" s="40"/>
    </row>
    <row r="581" spans="3:7" ht="15.75" customHeight="1" x14ac:dyDescent="0.25">
      <c r="C581" s="40"/>
      <c r="D581" s="41"/>
      <c r="E581" s="41"/>
      <c r="F581" s="40"/>
      <c r="G581" s="40"/>
    </row>
    <row r="582" spans="3:7" ht="15.75" customHeight="1" x14ac:dyDescent="0.25">
      <c r="C582" s="40"/>
      <c r="D582" s="41"/>
      <c r="E582" s="41"/>
      <c r="F582" s="40"/>
      <c r="G582" s="40"/>
    </row>
    <row r="583" spans="3:7" ht="15.75" customHeight="1" x14ac:dyDescent="0.25">
      <c r="C583" s="40"/>
      <c r="D583" s="41"/>
      <c r="E583" s="41"/>
      <c r="F583" s="40"/>
      <c r="G583" s="40"/>
    </row>
    <row r="584" spans="3:7" ht="15.75" customHeight="1" x14ac:dyDescent="0.25">
      <c r="C584" s="40"/>
      <c r="D584" s="41"/>
      <c r="E584" s="41"/>
      <c r="F584" s="40"/>
      <c r="G584" s="40"/>
    </row>
    <row r="585" spans="3:7" ht="15.75" customHeight="1" x14ac:dyDescent="0.25">
      <c r="C585" s="40"/>
      <c r="D585" s="41"/>
      <c r="E585" s="41"/>
      <c r="F585" s="40"/>
      <c r="G585" s="40"/>
    </row>
    <row r="586" spans="3:7" ht="15.75" customHeight="1" x14ac:dyDescent="0.25">
      <c r="C586" s="40"/>
      <c r="D586" s="41"/>
      <c r="E586" s="41"/>
      <c r="F586" s="40"/>
      <c r="G586" s="40"/>
    </row>
    <row r="587" spans="3:7" ht="15.75" customHeight="1" x14ac:dyDescent="0.25">
      <c r="C587" s="40"/>
      <c r="D587" s="41"/>
      <c r="E587" s="41"/>
      <c r="F587" s="40"/>
      <c r="G587" s="40"/>
    </row>
    <row r="588" spans="3:7" ht="15.75" customHeight="1" x14ac:dyDescent="0.25">
      <c r="C588" s="40"/>
      <c r="D588" s="41"/>
      <c r="E588" s="41"/>
      <c r="F588" s="40"/>
      <c r="G588" s="40"/>
    </row>
    <row r="589" spans="3:7" ht="15.75" customHeight="1" x14ac:dyDescent="0.25">
      <c r="C589" s="40"/>
      <c r="D589" s="41"/>
      <c r="E589" s="41"/>
      <c r="F589" s="40"/>
      <c r="G589" s="40"/>
    </row>
    <row r="590" spans="3:7" ht="15.75" customHeight="1" x14ac:dyDescent="0.25">
      <c r="C590" s="40"/>
      <c r="D590" s="41"/>
      <c r="E590" s="41"/>
      <c r="F590" s="40"/>
      <c r="G590" s="40"/>
    </row>
    <row r="591" spans="3:7" ht="15.75" customHeight="1" x14ac:dyDescent="0.25">
      <c r="C591" s="40"/>
      <c r="D591" s="41"/>
      <c r="E591" s="41"/>
      <c r="F591" s="40"/>
      <c r="G591" s="40"/>
    </row>
    <row r="592" spans="3:7" ht="15.75" customHeight="1" x14ac:dyDescent="0.25">
      <c r="C592" s="40"/>
      <c r="D592" s="41"/>
      <c r="E592" s="41"/>
      <c r="F592" s="40"/>
      <c r="G592" s="40"/>
    </row>
    <row r="593" spans="3:7" ht="15.75" customHeight="1" x14ac:dyDescent="0.25">
      <c r="C593" s="40"/>
      <c r="D593" s="41"/>
      <c r="E593" s="41"/>
      <c r="F593" s="40"/>
      <c r="G593" s="40"/>
    </row>
    <row r="594" spans="3:7" ht="15.75" customHeight="1" x14ac:dyDescent="0.25">
      <c r="C594" s="40"/>
      <c r="D594" s="41"/>
      <c r="E594" s="41"/>
      <c r="F594" s="40"/>
      <c r="G594" s="40"/>
    </row>
    <row r="595" spans="3:7" ht="15.75" customHeight="1" x14ac:dyDescent="0.25">
      <c r="C595" s="40"/>
      <c r="D595" s="41"/>
      <c r="E595" s="41"/>
      <c r="F595" s="40"/>
      <c r="G595" s="40"/>
    </row>
    <row r="596" spans="3:7" ht="15.75" customHeight="1" x14ac:dyDescent="0.25">
      <c r="C596" s="40"/>
      <c r="D596" s="41"/>
      <c r="E596" s="41"/>
      <c r="F596" s="40"/>
      <c r="G596" s="40"/>
    </row>
    <row r="597" spans="3:7" ht="15.75" customHeight="1" x14ac:dyDescent="0.25">
      <c r="C597" s="40"/>
      <c r="D597" s="41"/>
      <c r="E597" s="41"/>
      <c r="F597" s="40"/>
      <c r="G597" s="40"/>
    </row>
    <row r="598" spans="3:7" ht="15.75" customHeight="1" x14ac:dyDescent="0.25">
      <c r="C598" s="40"/>
      <c r="D598" s="41"/>
      <c r="E598" s="41"/>
      <c r="F598" s="40"/>
      <c r="G598" s="40"/>
    </row>
    <row r="599" spans="3:7" ht="15.75" customHeight="1" x14ac:dyDescent="0.25">
      <c r="C599" s="40"/>
      <c r="D599" s="41"/>
      <c r="E599" s="41"/>
      <c r="F599" s="40"/>
      <c r="G599" s="40"/>
    </row>
    <row r="600" spans="3:7" ht="15.75" customHeight="1" x14ac:dyDescent="0.25">
      <c r="C600" s="40"/>
      <c r="D600" s="41"/>
      <c r="E600" s="41"/>
      <c r="F600" s="40"/>
      <c r="G600" s="40"/>
    </row>
    <row r="601" spans="3:7" ht="15.75" customHeight="1" x14ac:dyDescent="0.25">
      <c r="C601" s="40"/>
      <c r="D601" s="41"/>
      <c r="E601" s="41"/>
      <c r="F601" s="40"/>
      <c r="G601" s="40"/>
    </row>
    <row r="602" spans="3:7" ht="15.75" customHeight="1" x14ac:dyDescent="0.25">
      <c r="C602" s="40"/>
      <c r="D602" s="41"/>
      <c r="E602" s="41"/>
      <c r="F602" s="40"/>
      <c r="G602" s="40"/>
    </row>
    <row r="603" spans="3:7" ht="15.75" customHeight="1" x14ac:dyDescent="0.25">
      <c r="C603" s="40"/>
      <c r="D603" s="41"/>
      <c r="E603" s="41"/>
      <c r="F603" s="40"/>
      <c r="G603" s="40"/>
    </row>
    <row r="604" spans="3:7" ht="15.75" customHeight="1" x14ac:dyDescent="0.25">
      <c r="C604" s="40"/>
      <c r="D604" s="41"/>
      <c r="E604" s="41"/>
      <c r="F604" s="40"/>
      <c r="G604" s="40"/>
    </row>
    <row r="605" spans="3:7" ht="15.75" customHeight="1" x14ac:dyDescent="0.25">
      <c r="C605" s="40"/>
      <c r="D605" s="41"/>
      <c r="E605" s="41"/>
      <c r="F605" s="40"/>
      <c r="G605" s="40"/>
    </row>
    <row r="606" spans="3:7" ht="15.75" customHeight="1" x14ac:dyDescent="0.25">
      <c r="C606" s="40"/>
      <c r="D606" s="41"/>
      <c r="E606" s="41"/>
      <c r="F606" s="40"/>
      <c r="G606" s="40"/>
    </row>
    <row r="607" spans="3:7" ht="15.75" customHeight="1" x14ac:dyDescent="0.25">
      <c r="C607" s="40"/>
      <c r="D607" s="41"/>
      <c r="E607" s="41"/>
      <c r="F607" s="40"/>
      <c r="G607" s="40"/>
    </row>
    <row r="608" spans="3:7" ht="15.75" customHeight="1" x14ac:dyDescent="0.25">
      <c r="C608" s="40"/>
      <c r="D608" s="41"/>
      <c r="E608" s="41"/>
      <c r="F608" s="40"/>
      <c r="G608" s="40"/>
    </row>
    <row r="609" spans="3:7" ht="15.75" customHeight="1" x14ac:dyDescent="0.25">
      <c r="C609" s="40"/>
      <c r="D609" s="41"/>
      <c r="E609" s="41"/>
      <c r="F609" s="40"/>
      <c r="G609" s="40"/>
    </row>
    <row r="610" spans="3:7" ht="15.75" customHeight="1" x14ac:dyDescent="0.25">
      <c r="C610" s="40"/>
      <c r="D610" s="41"/>
      <c r="E610" s="41"/>
      <c r="F610" s="40"/>
      <c r="G610" s="40"/>
    </row>
    <row r="611" spans="3:7" ht="15.75" customHeight="1" x14ac:dyDescent="0.25">
      <c r="C611" s="40"/>
      <c r="D611" s="41"/>
      <c r="E611" s="41"/>
      <c r="F611" s="40"/>
      <c r="G611" s="40"/>
    </row>
    <row r="612" spans="3:7" ht="15.75" customHeight="1" x14ac:dyDescent="0.25">
      <c r="C612" s="40"/>
      <c r="D612" s="41"/>
      <c r="E612" s="41"/>
      <c r="F612" s="40"/>
      <c r="G612" s="40"/>
    </row>
    <row r="613" spans="3:7" ht="15.75" customHeight="1" x14ac:dyDescent="0.25">
      <c r="C613" s="40"/>
      <c r="D613" s="41"/>
      <c r="E613" s="41"/>
      <c r="F613" s="40"/>
      <c r="G613" s="40"/>
    </row>
    <row r="614" spans="3:7" ht="15.75" customHeight="1" x14ac:dyDescent="0.25">
      <c r="C614" s="40"/>
      <c r="D614" s="41"/>
      <c r="E614" s="41"/>
      <c r="F614" s="40"/>
      <c r="G614" s="40"/>
    </row>
    <row r="615" spans="3:7" ht="15.75" customHeight="1" x14ac:dyDescent="0.25">
      <c r="C615" s="40"/>
      <c r="D615" s="41"/>
      <c r="E615" s="41"/>
      <c r="F615" s="40"/>
      <c r="G615" s="40"/>
    </row>
    <row r="616" spans="3:7" ht="15.75" customHeight="1" x14ac:dyDescent="0.25">
      <c r="C616" s="40"/>
      <c r="D616" s="41"/>
      <c r="E616" s="41"/>
      <c r="F616" s="40"/>
      <c r="G616" s="40"/>
    </row>
    <row r="617" spans="3:7" ht="15.75" customHeight="1" x14ac:dyDescent="0.25">
      <c r="C617" s="40"/>
      <c r="D617" s="41"/>
      <c r="E617" s="41"/>
      <c r="F617" s="40"/>
      <c r="G617" s="40"/>
    </row>
    <row r="618" spans="3:7" ht="15.75" customHeight="1" x14ac:dyDescent="0.25">
      <c r="C618" s="40"/>
      <c r="D618" s="41"/>
      <c r="E618" s="41"/>
      <c r="F618" s="40"/>
      <c r="G618" s="40"/>
    </row>
    <row r="619" spans="3:7" ht="15.75" customHeight="1" x14ac:dyDescent="0.25">
      <c r="C619" s="40"/>
      <c r="D619" s="41"/>
      <c r="E619" s="41"/>
      <c r="F619" s="40"/>
      <c r="G619" s="40"/>
    </row>
    <row r="620" spans="3:7" ht="15.75" customHeight="1" x14ac:dyDescent="0.25">
      <c r="C620" s="40"/>
      <c r="D620" s="41"/>
      <c r="E620" s="41"/>
      <c r="F620" s="40"/>
      <c r="G620" s="40"/>
    </row>
    <row r="621" spans="3:7" ht="15.75" customHeight="1" x14ac:dyDescent="0.25">
      <c r="C621" s="40"/>
      <c r="D621" s="41"/>
      <c r="E621" s="41"/>
      <c r="F621" s="40"/>
      <c r="G621" s="40"/>
    </row>
    <row r="622" spans="3:7" ht="15.75" customHeight="1" x14ac:dyDescent="0.25">
      <c r="C622" s="40"/>
      <c r="D622" s="41"/>
      <c r="E622" s="41"/>
      <c r="F622" s="40"/>
      <c r="G622" s="40"/>
    </row>
    <row r="623" spans="3:7" ht="15.75" customHeight="1" x14ac:dyDescent="0.25">
      <c r="C623" s="40"/>
      <c r="D623" s="41"/>
      <c r="E623" s="41"/>
      <c r="F623" s="40"/>
      <c r="G623" s="40"/>
    </row>
    <row r="624" spans="3:7" ht="15.75" customHeight="1" x14ac:dyDescent="0.25">
      <c r="C624" s="40"/>
      <c r="D624" s="41"/>
      <c r="E624" s="41"/>
      <c r="F624" s="40"/>
      <c r="G624" s="40"/>
    </row>
    <row r="625" spans="3:7" ht="15.75" customHeight="1" x14ac:dyDescent="0.25">
      <c r="C625" s="40"/>
      <c r="D625" s="41"/>
      <c r="E625" s="41"/>
      <c r="F625" s="40"/>
      <c r="G625" s="40"/>
    </row>
    <row r="626" spans="3:7" ht="15.75" customHeight="1" x14ac:dyDescent="0.25">
      <c r="C626" s="40"/>
      <c r="D626" s="41"/>
      <c r="E626" s="41"/>
      <c r="F626" s="40"/>
      <c r="G626" s="40"/>
    </row>
    <row r="627" spans="3:7" ht="15.75" customHeight="1" x14ac:dyDescent="0.25">
      <c r="C627" s="40"/>
      <c r="D627" s="41"/>
      <c r="E627" s="41"/>
      <c r="F627" s="40"/>
      <c r="G627" s="40"/>
    </row>
    <row r="628" spans="3:7" ht="15.75" customHeight="1" x14ac:dyDescent="0.25">
      <c r="C628" s="40"/>
      <c r="D628" s="41"/>
      <c r="E628" s="41"/>
      <c r="F628" s="40"/>
      <c r="G628" s="40"/>
    </row>
    <row r="629" spans="3:7" ht="15.75" customHeight="1" x14ac:dyDescent="0.25">
      <c r="C629" s="40"/>
      <c r="D629" s="41"/>
      <c r="E629" s="41"/>
      <c r="F629" s="40"/>
      <c r="G629" s="40"/>
    </row>
    <row r="630" spans="3:7" ht="15.75" customHeight="1" x14ac:dyDescent="0.25">
      <c r="C630" s="40"/>
      <c r="D630" s="41"/>
      <c r="E630" s="41"/>
      <c r="F630" s="40"/>
      <c r="G630" s="40"/>
    </row>
    <row r="631" spans="3:7" ht="15.75" customHeight="1" x14ac:dyDescent="0.25">
      <c r="C631" s="40"/>
      <c r="D631" s="41"/>
      <c r="E631" s="41"/>
      <c r="F631" s="40"/>
      <c r="G631" s="40"/>
    </row>
    <row r="632" spans="3:7" ht="15.75" customHeight="1" x14ac:dyDescent="0.25">
      <c r="C632" s="40"/>
      <c r="D632" s="41"/>
      <c r="E632" s="41"/>
      <c r="F632" s="40"/>
      <c r="G632" s="40"/>
    </row>
    <row r="633" spans="3:7" ht="15.75" customHeight="1" x14ac:dyDescent="0.25">
      <c r="C633" s="40"/>
      <c r="D633" s="41"/>
      <c r="E633" s="41"/>
      <c r="F633" s="40"/>
      <c r="G633" s="40"/>
    </row>
    <row r="634" spans="3:7" ht="15.75" customHeight="1" x14ac:dyDescent="0.25">
      <c r="C634" s="40"/>
      <c r="D634" s="41"/>
      <c r="E634" s="41"/>
      <c r="F634" s="40"/>
      <c r="G634" s="40"/>
    </row>
    <row r="635" spans="3:7" ht="15.75" customHeight="1" x14ac:dyDescent="0.25">
      <c r="C635" s="40"/>
      <c r="D635" s="41"/>
      <c r="E635" s="41"/>
      <c r="F635" s="40"/>
      <c r="G635" s="40"/>
    </row>
    <row r="636" spans="3:7" ht="15.75" customHeight="1" x14ac:dyDescent="0.25">
      <c r="C636" s="40"/>
      <c r="D636" s="41"/>
      <c r="E636" s="41"/>
      <c r="F636" s="40"/>
      <c r="G636" s="40"/>
    </row>
    <row r="637" spans="3:7" ht="15.75" customHeight="1" x14ac:dyDescent="0.25">
      <c r="C637" s="40"/>
      <c r="D637" s="41"/>
      <c r="E637" s="41"/>
      <c r="F637" s="40"/>
      <c r="G637" s="40"/>
    </row>
    <row r="638" spans="3:7" ht="15.75" customHeight="1" x14ac:dyDescent="0.25">
      <c r="C638" s="40"/>
      <c r="D638" s="41"/>
      <c r="E638" s="41"/>
      <c r="F638" s="40"/>
      <c r="G638" s="40"/>
    </row>
    <row r="639" spans="3:7" ht="15.75" customHeight="1" x14ac:dyDescent="0.25">
      <c r="C639" s="40"/>
      <c r="D639" s="41"/>
      <c r="E639" s="41"/>
      <c r="F639" s="40"/>
      <c r="G639" s="40"/>
    </row>
    <row r="640" spans="3:7" ht="15.75" customHeight="1" x14ac:dyDescent="0.25">
      <c r="C640" s="40"/>
      <c r="D640" s="41"/>
      <c r="E640" s="41"/>
      <c r="F640" s="40"/>
      <c r="G640" s="40"/>
    </row>
    <row r="641" spans="3:7" ht="15.75" customHeight="1" x14ac:dyDescent="0.25">
      <c r="C641" s="40"/>
      <c r="D641" s="41"/>
      <c r="E641" s="41"/>
      <c r="F641" s="40"/>
      <c r="G641" s="40"/>
    </row>
    <row r="642" spans="3:7" ht="15.75" customHeight="1" x14ac:dyDescent="0.25">
      <c r="C642" s="40"/>
      <c r="D642" s="41"/>
      <c r="E642" s="41"/>
      <c r="F642" s="40"/>
      <c r="G642" s="40"/>
    </row>
    <row r="643" spans="3:7" ht="15.75" customHeight="1" x14ac:dyDescent="0.25">
      <c r="C643" s="40"/>
      <c r="D643" s="41"/>
      <c r="E643" s="41"/>
      <c r="F643" s="40"/>
      <c r="G643" s="40"/>
    </row>
    <row r="644" spans="3:7" ht="15.75" customHeight="1" x14ac:dyDescent="0.25">
      <c r="C644" s="40"/>
      <c r="D644" s="41"/>
      <c r="E644" s="41"/>
      <c r="F644" s="40"/>
      <c r="G644" s="40"/>
    </row>
    <row r="645" spans="3:7" ht="15.75" customHeight="1" x14ac:dyDescent="0.25">
      <c r="C645" s="40"/>
      <c r="D645" s="41"/>
      <c r="E645" s="41"/>
      <c r="F645" s="40"/>
      <c r="G645" s="40"/>
    </row>
    <row r="646" spans="3:7" ht="15.75" customHeight="1" x14ac:dyDescent="0.25">
      <c r="C646" s="40"/>
      <c r="D646" s="41"/>
      <c r="E646" s="41"/>
      <c r="F646" s="40"/>
      <c r="G646" s="40"/>
    </row>
    <row r="647" spans="3:7" ht="15.75" customHeight="1" x14ac:dyDescent="0.25">
      <c r="C647" s="40"/>
      <c r="D647" s="41"/>
      <c r="E647" s="41"/>
      <c r="F647" s="40"/>
      <c r="G647" s="40"/>
    </row>
    <row r="648" spans="3:7" ht="15.75" customHeight="1" x14ac:dyDescent="0.25">
      <c r="C648" s="40"/>
      <c r="D648" s="41"/>
      <c r="E648" s="41"/>
      <c r="F648" s="40"/>
      <c r="G648" s="40"/>
    </row>
    <row r="649" spans="3:7" ht="15.75" customHeight="1" x14ac:dyDescent="0.25">
      <c r="C649" s="40"/>
      <c r="D649" s="41"/>
      <c r="E649" s="41"/>
      <c r="F649" s="40"/>
      <c r="G649" s="40"/>
    </row>
    <row r="650" spans="3:7" ht="15.75" customHeight="1" x14ac:dyDescent="0.25">
      <c r="C650" s="40"/>
      <c r="D650" s="41"/>
      <c r="E650" s="41"/>
      <c r="F650" s="40"/>
      <c r="G650" s="40"/>
    </row>
    <row r="651" spans="3:7" ht="15.75" customHeight="1" x14ac:dyDescent="0.25">
      <c r="C651" s="40"/>
      <c r="D651" s="41"/>
      <c r="E651" s="41"/>
      <c r="F651" s="40"/>
      <c r="G651" s="40"/>
    </row>
    <row r="652" spans="3:7" ht="15.75" customHeight="1" x14ac:dyDescent="0.25">
      <c r="C652" s="40"/>
      <c r="D652" s="41"/>
      <c r="E652" s="41"/>
      <c r="F652" s="40"/>
      <c r="G652" s="40"/>
    </row>
    <row r="653" spans="3:7" ht="15.75" customHeight="1" x14ac:dyDescent="0.25">
      <c r="C653" s="40"/>
      <c r="D653" s="41"/>
      <c r="E653" s="41"/>
      <c r="F653" s="40"/>
      <c r="G653" s="40"/>
    </row>
    <row r="654" spans="3:7" ht="15.75" customHeight="1" x14ac:dyDescent="0.25">
      <c r="C654" s="40"/>
      <c r="D654" s="41"/>
      <c r="E654" s="41"/>
      <c r="F654" s="40"/>
      <c r="G654" s="40"/>
    </row>
    <row r="655" spans="3:7" ht="15.75" customHeight="1" x14ac:dyDescent="0.25">
      <c r="C655" s="40"/>
      <c r="D655" s="41"/>
      <c r="E655" s="41"/>
      <c r="F655" s="40"/>
      <c r="G655" s="40"/>
    </row>
    <row r="656" spans="3:7" ht="15.75" customHeight="1" x14ac:dyDescent="0.25">
      <c r="C656" s="40"/>
      <c r="D656" s="41"/>
      <c r="E656" s="41"/>
      <c r="F656" s="40"/>
      <c r="G656" s="40"/>
    </row>
    <row r="657" spans="3:7" ht="15.75" customHeight="1" x14ac:dyDescent="0.25">
      <c r="C657" s="40"/>
      <c r="D657" s="41"/>
      <c r="E657" s="41"/>
      <c r="F657" s="40"/>
      <c r="G657" s="40"/>
    </row>
    <row r="658" spans="3:7" ht="15.75" customHeight="1" x14ac:dyDescent="0.25">
      <c r="C658" s="40"/>
      <c r="D658" s="41"/>
      <c r="E658" s="41"/>
      <c r="F658" s="40"/>
      <c r="G658" s="40"/>
    </row>
    <row r="659" spans="3:7" ht="15.75" customHeight="1" x14ac:dyDescent="0.25">
      <c r="C659" s="40"/>
      <c r="D659" s="41"/>
      <c r="E659" s="41"/>
      <c r="F659" s="40"/>
      <c r="G659" s="40"/>
    </row>
    <row r="660" spans="3:7" ht="15.75" customHeight="1" x14ac:dyDescent="0.25">
      <c r="C660" s="40"/>
      <c r="D660" s="41"/>
      <c r="E660" s="41"/>
      <c r="F660" s="40"/>
      <c r="G660" s="40"/>
    </row>
    <row r="661" spans="3:7" ht="15.75" customHeight="1" x14ac:dyDescent="0.25">
      <c r="C661" s="40"/>
      <c r="D661" s="41"/>
      <c r="E661" s="41"/>
      <c r="F661" s="40"/>
      <c r="G661" s="40"/>
    </row>
    <row r="662" spans="3:7" ht="15.75" customHeight="1" x14ac:dyDescent="0.25">
      <c r="C662" s="40"/>
      <c r="D662" s="41"/>
      <c r="E662" s="41"/>
      <c r="F662" s="40"/>
      <c r="G662" s="40"/>
    </row>
    <row r="663" spans="3:7" ht="15.75" customHeight="1" x14ac:dyDescent="0.25">
      <c r="C663" s="40"/>
      <c r="D663" s="41"/>
      <c r="E663" s="41"/>
      <c r="F663" s="40"/>
      <c r="G663" s="40"/>
    </row>
    <row r="664" spans="3:7" ht="15.75" customHeight="1" x14ac:dyDescent="0.25">
      <c r="C664" s="40"/>
      <c r="D664" s="41"/>
      <c r="E664" s="41"/>
      <c r="F664" s="40"/>
      <c r="G664" s="40"/>
    </row>
    <row r="665" spans="3:7" ht="15.75" customHeight="1" x14ac:dyDescent="0.25">
      <c r="C665" s="40"/>
      <c r="D665" s="41"/>
      <c r="E665" s="41"/>
      <c r="F665" s="40"/>
      <c r="G665" s="40"/>
    </row>
    <row r="666" spans="3:7" ht="15.75" customHeight="1" x14ac:dyDescent="0.25">
      <c r="C666" s="40"/>
      <c r="D666" s="41"/>
      <c r="E666" s="41"/>
      <c r="F666" s="40"/>
      <c r="G666" s="40"/>
    </row>
    <row r="667" spans="3:7" ht="15.75" customHeight="1" x14ac:dyDescent="0.25">
      <c r="C667" s="40"/>
      <c r="D667" s="41"/>
      <c r="E667" s="41"/>
      <c r="F667" s="40"/>
      <c r="G667" s="40"/>
    </row>
    <row r="668" spans="3:7" ht="15.75" customHeight="1" x14ac:dyDescent="0.25">
      <c r="C668" s="40"/>
      <c r="D668" s="41"/>
      <c r="E668" s="41"/>
      <c r="F668" s="40"/>
      <c r="G668" s="40"/>
    </row>
    <row r="669" spans="3:7" ht="15.75" customHeight="1" x14ac:dyDescent="0.25">
      <c r="C669" s="40"/>
      <c r="D669" s="41"/>
      <c r="E669" s="41"/>
      <c r="F669" s="40"/>
      <c r="G669" s="40"/>
    </row>
    <row r="670" spans="3:7" ht="15.75" customHeight="1" x14ac:dyDescent="0.25">
      <c r="C670" s="40"/>
      <c r="D670" s="41"/>
      <c r="E670" s="41"/>
      <c r="F670" s="40"/>
      <c r="G670" s="40"/>
    </row>
    <row r="671" spans="3:7" ht="15.75" customHeight="1" x14ac:dyDescent="0.25">
      <c r="C671" s="40"/>
      <c r="D671" s="41"/>
      <c r="E671" s="41"/>
      <c r="F671" s="40"/>
      <c r="G671" s="40"/>
    </row>
    <row r="672" spans="3:7" ht="15.75" customHeight="1" x14ac:dyDescent="0.25">
      <c r="C672" s="40"/>
      <c r="D672" s="41"/>
      <c r="E672" s="41"/>
      <c r="F672" s="40"/>
      <c r="G672" s="40"/>
    </row>
    <row r="673" spans="3:7" ht="15.75" customHeight="1" x14ac:dyDescent="0.25">
      <c r="C673" s="40"/>
      <c r="D673" s="41"/>
      <c r="E673" s="41"/>
      <c r="F673" s="40"/>
      <c r="G673" s="40"/>
    </row>
    <row r="674" spans="3:7" ht="15.75" customHeight="1" x14ac:dyDescent="0.25">
      <c r="C674" s="40"/>
      <c r="D674" s="41"/>
      <c r="E674" s="41"/>
      <c r="F674" s="40"/>
      <c r="G674" s="40"/>
    </row>
    <row r="675" spans="3:7" ht="15.75" customHeight="1" x14ac:dyDescent="0.25">
      <c r="C675" s="40"/>
      <c r="D675" s="41"/>
      <c r="E675" s="41"/>
      <c r="F675" s="40"/>
      <c r="G675" s="40"/>
    </row>
    <row r="676" spans="3:7" ht="15.75" customHeight="1" x14ac:dyDescent="0.25">
      <c r="C676" s="40"/>
      <c r="D676" s="41"/>
      <c r="E676" s="41"/>
      <c r="F676" s="40"/>
      <c r="G676" s="40"/>
    </row>
    <row r="677" spans="3:7" ht="15.75" customHeight="1" x14ac:dyDescent="0.25">
      <c r="C677" s="40"/>
      <c r="D677" s="41"/>
      <c r="E677" s="41"/>
      <c r="F677" s="40"/>
      <c r="G677" s="40"/>
    </row>
    <row r="678" spans="3:7" ht="15.75" customHeight="1" x14ac:dyDescent="0.25">
      <c r="C678" s="40"/>
      <c r="D678" s="41"/>
      <c r="E678" s="41"/>
      <c r="F678" s="40"/>
      <c r="G678" s="40"/>
    </row>
    <row r="679" spans="3:7" ht="15.75" customHeight="1" x14ac:dyDescent="0.25">
      <c r="C679" s="40"/>
      <c r="D679" s="41"/>
      <c r="E679" s="41"/>
      <c r="F679" s="40"/>
      <c r="G679" s="40"/>
    </row>
    <row r="680" spans="3:7" ht="15.75" customHeight="1" x14ac:dyDescent="0.25">
      <c r="C680" s="40"/>
      <c r="D680" s="41"/>
      <c r="E680" s="41"/>
      <c r="F680" s="40"/>
      <c r="G680" s="40"/>
    </row>
    <row r="681" spans="3:7" ht="15.75" customHeight="1" x14ac:dyDescent="0.25">
      <c r="C681" s="40"/>
      <c r="D681" s="41"/>
      <c r="E681" s="41"/>
      <c r="F681" s="40"/>
      <c r="G681" s="40"/>
    </row>
    <row r="682" spans="3:7" ht="15.75" customHeight="1" x14ac:dyDescent="0.25">
      <c r="C682" s="40"/>
      <c r="D682" s="41"/>
      <c r="E682" s="41"/>
      <c r="F682" s="40"/>
      <c r="G682" s="40"/>
    </row>
    <row r="683" spans="3:7" ht="15.75" customHeight="1" x14ac:dyDescent="0.25">
      <c r="C683" s="40"/>
      <c r="D683" s="41"/>
      <c r="E683" s="41"/>
      <c r="F683" s="40"/>
      <c r="G683" s="40"/>
    </row>
    <row r="684" spans="3:7" ht="15.75" customHeight="1" x14ac:dyDescent="0.25">
      <c r="C684" s="40"/>
      <c r="D684" s="41"/>
      <c r="E684" s="41"/>
      <c r="F684" s="40"/>
      <c r="G684" s="40"/>
    </row>
    <row r="685" spans="3:7" ht="15.75" customHeight="1" x14ac:dyDescent="0.25">
      <c r="C685" s="40"/>
      <c r="D685" s="41"/>
      <c r="E685" s="41"/>
      <c r="F685" s="40"/>
      <c r="G685" s="40"/>
    </row>
    <row r="686" spans="3:7" ht="15.75" customHeight="1" x14ac:dyDescent="0.25">
      <c r="C686" s="40"/>
      <c r="D686" s="41"/>
      <c r="E686" s="41"/>
      <c r="F686" s="40"/>
      <c r="G686" s="40"/>
    </row>
    <row r="687" spans="3:7" ht="15.75" customHeight="1" x14ac:dyDescent="0.25">
      <c r="C687" s="40"/>
      <c r="D687" s="41"/>
      <c r="E687" s="41"/>
      <c r="F687" s="40"/>
      <c r="G687" s="40"/>
    </row>
    <row r="688" spans="3:7" ht="15.75" customHeight="1" x14ac:dyDescent="0.25">
      <c r="C688" s="40"/>
      <c r="D688" s="41"/>
      <c r="E688" s="41"/>
      <c r="F688" s="40"/>
      <c r="G688" s="40"/>
    </row>
    <row r="689" spans="3:7" ht="15.75" customHeight="1" x14ac:dyDescent="0.25">
      <c r="C689" s="40"/>
      <c r="D689" s="41"/>
      <c r="E689" s="41"/>
      <c r="F689" s="40"/>
      <c r="G689" s="40"/>
    </row>
    <row r="690" spans="3:7" ht="15.75" customHeight="1" x14ac:dyDescent="0.25">
      <c r="C690" s="40"/>
      <c r="D690" s="41"/>
      <c r="E690" s="41"/>
      <c r="F690" s="40"/>
      <c r="G690" s="40"/>
    </row>
    <row r="691" spans="3:7" ht="15.75" customHeight="1" x14ac:dyDescent="0.25">
      <c r="C691" s="40"/>
      <c r="D691" s="41"/>
      <c r="E691" s="41"/>
      <c r="F691" s="40"/>
      <c r="G691" s="40"/>
    </row>
    <row r="692" spans="3:7" ht="15.75" customHeight="1" x14ac:dyDescent="0.25">
      <c r="C692" s="40"/>
      <c r="D692" s="41"/>
      <c r="E692" s="41"/>
      <c r="F692" s="40"/>
      <c r="G692" s="40"/>
    </row>
    <row r="693" spans="3:7" ht="15.75" customHeight="1" x14ac:dyDescent="0.25">
      <c r="C693" s="40"/>
      <c r="D693" s="41"/>
      <c r="E693" s="41"/>
      <c r="F693" s="40"/>
      <c r="G693" s="40"/>
    </row>
    <row r="694" spans="3:7" ht="15.75" customHeight="1" x14ac:dyDescent="0.25">
      <c r="C694" s="40"/>
      <c r="D694" s="41"/>
      <c r="E694" s="41"/>
      <c r="F694" s="40"/>
      <c r="G694" s="40"/>
    </row>
    <row r="695" spans="3:7" ht="15.75" customHeight="1" x14ac:dyDescent="0.25">
      <c r="C695" s="40"/>
      <c r="D695" s="41"/>
      <c r="E695" s="41"/>
      <c r="F695" s="40"/>
      <c r="G695" s="40"/>
    </row>
    <row r="696" spans="3:7" ht="15.75" customHeight="1" x14ac:dyDescent="0.25">
      <c r="C696" s="40"/>
      <c r="D696" s="41"/>
      <c r="E696" s="41"/>
      <c r="F696" s="40"/>
      <c r="G696" s="40"/>
    </row>
    <row r="697" spans="3:7" ht="15.75" customHeight="1" x14ac:dyDescent="0.25">
      <c r="C697" s="40"/>
      <c r="D697" s="41"/>
      <c r="E697" s="41"/>
      <c r="F697" s="40"/>
      <c r="G697" s="40"/>
    </row>
    <row r="698" spans="3:7" ht="15.75" customHeight="1" x14ac:dyDescent="0.25">
      <c r="C698" s="40"/>
      <c r="D698" s="41"/>
      <c r="E698" s="41"/>
      <c r="F698" s="40"/>
      <c r="G698" s="40"/>
    </row>
    <row r="699" spans="3:7" ht="15.75" customHeight="1" x14ac:dyDescent="0.25">
      <c r="C699" s="40"/>
      <c r="D699" s="41"/>
      <c r="E699" s="41"/>
      <c r="F699" s="40"/>
      <c r="G699" s="40"/>
    </row>
    <row r="700" spans="3:7" ht="15.75" customHeight="1" x14ac:dyDescent="0.25">
      <c r="C700" s="40"/>
      <c r="D700" s="41"/>
      <c r="E700" s="41"/>
      <c r="F700" s="40"/>
      <c r="G700" s="40"/>
    </row>
    <row r="701" spans="3:7" ht="15.75" customHeight="1" x14ac:dyDescent="0.25">
      <c r="C701" s="40"/>
      <c r="D701" s="41"/>
      <c r="E701" s="41"/>
      <c r="F701" s="40"/>
      <c r="G701" s="40"/>
    </row>
    <row r="702" spans="3:7" ht="15.75" customHeight="1" x14ac:dyDescent="0.25">
      <c r="C702" s="40"/>
      <c r="D702" s="41"/>
      <c r="E702" s="41"/>
      <c r="F702" s="40"/>
      <c r="G702" s="40"/>
    </row>
    <row r="703" spans="3:7" ht="15.75" customHeight="1" x14ac:dyDescent="0.25">
      <c r="C703" s="40"/>
      <c r="D703" s="41"/>
      <c r="E703" s="41"/>
      <c r="F703" s="40"/>
      <c r="G703" s="40"/>
    </row>
    <row r="704" spans="3:7" ht="15.75" customHeight="1" x14ac:dyDescent="0.25">
      <c r="C704" s="40"/>
      <c r="D704" s="41"/>
      <c r="E704" s="41"/>
      <c r="F704" s="40"/>
      <c r="G704" s="40"/>
    </row>
    <row r="705" spans="3:7" ht="15.75" customHeight="1" x14ac:dyDescent="0.25">
      <c r="C705" s="40"/>
      <c r="D705" s="41"/>
      <c r="E705" s="41"/>
      <c r="F705" s="40"/>
      <c r="G705" s="40"/>
    </row>
    <row r="706" spans="3:7" ht="15.75" customHeight="1" x14ac:dyDescent="0.25">
      <c r="C706" s="40"/>
      <c r="D706" s="41"/>
      <c r="E706" s="41"/>
      <c r="F706" s="40"/>
      <c r="G706" s="40"/>
    </row>
    <row r="707" spans="3:7" ht="15.75" customHeight="1" x14ac:dyDescent="0.25">
      <c r="C707" s="40"/>
      <c r="D707" s="41"/>
      <c r="E707" s="41"/>
      <c r="F707" s="40"/>
      <c r="G707" s="40"/>
    </row>
    <row r="708" spans="3:7" ht="15.75" customHeight="1" x14ac:dyDescent="0.25">
      <c r="C708" s="40"/>
      <c r="D708" s="41"/>
      <c r="E708" s="41"/>
      <c r="F708" s="40"/>
      <c r="G708" s="40"/>
    </row>
    <row r="709" spans="3:7" ht="15.75" customHeight="1" x14ac:dyDescent="0.25">
      <c r="C709" s="40"/>
      <c r="D709" s="41"/>
      <c r="E709" s="41"/>
      <c r="F709" s="40"/>
      <c r="G709" s="40"/>
    </row>
    <row r="710" spans="3:7" ht="15.75" customHeight="1" x14ac:dyDescent="0.25">
      <c r="C710" s="40"/>
      <c r="D710" s="41"/>
      <c r="E710" s="41"/>
      <c r="F710" s="40"/>
      <c r="G710" s="40"/>
    </row>
    <row r="711" spans="3:7" ht="15.75" customHeight="1" x14ac:dyDescent="0.25">
      <c r="C711" s="40"/>
      <c r="D711" s="41"/>
      <c r="E711" s="41"/>
      <c r="F711" s="40"/>
      <c r="G711" s="40"/>
    </row>
    <row r="712" spans="3:7" ht="15.75" customHeight="1" x14ac:dyDescent="0.25">
      <c r="C712" s="40"/>
      <c r="D712" s="41"/>
      <c r="E712" s="41"/>
      <c r="F712" s="40"/>
      <c r="G712" s="40"/>
    </row>
    <row r="713" spans="3:7" ht="15.75" customHeight="1" x14ac:dyDescent="0.25">
      <c r="C713" s="40"/>
      <c r="D713" s="41"/>
      <c r="E713" s="41"/>
      <c r="F713" s="40"/>
      <c r="G713" s="40"/>
    </row>
    <row r="714" spans="3:7" ht="15.75" customHeight="1" x14ac:dyDescent="0.25">
      <c r="C714" s="40"/>
      <c r="D714" s="41"/>
      <c r="E714" s="41"/>
      <c r="F714" s="40"/>
      <c r="G714" s="40"/>
    </row>
    <row r="715" spans="3:7" ht="15.75" customHeight="1" x14ac:dyDescent="0.25">
      <c r="C715" s="40"/>
      <c r="D715" s="41"/>
      <c r="E715" s="41"/>
      <c r="F715" s="40"/>
      <c r="G715" s="40"/>
    </row>
    <row r="716" spans="3:7" ht="15.75" customHeight="1" x14ac:dyDescent="0.25">
      <c r="C716" s="40"/>
      <c r="D716" s="41"/>
      <c r="E716" s="41"/>
      <c r="F716" s="40"/>
      <c r="G716" s="40"/>
    </row>
    <row r="717" spans="3:7" ht="15.75" customHeight="1" x14ac:dyDescent="0.25">
      <c r="C717" s="40"/>
      <c r="D717" s="41"/>
      <c r="E717" s="41"/>
      <c r="F717" s="40"/>
      <c r="G717" s="40"/>
    </row>
    <row r="718" spans="3:7" ht="15.75" customHeight="1" x14ac:dyDescent="0.25">
      <c r="C718" s="40"/>
      <c r="D718" s="41"/>
      <c r="E718" s="41"/>
      <c r="F718" s="40"/>
      <c r="G718" s="40"/>
    </row>
    <row r="719" spans="3:7" ht="15.75" customHeight="1" x14ac:dyDescent="0.25">
      <c r="C719" s="40"/>
      <c r="D719" s="41"/>
      <c r="E719" s="41"/>
      <c r="F719" s="40"/>
      <c r="G719" s="40"/>
    </row>
    <row r="720" spans="3:7" ht="15.75" customHeight="1" x14ac:dyDescent="0.25">
      <c r="C720" s="40"/>
      <c r="D720" s="41"/>
      <c r="E720" s="41"/>
      <c r="F720" s="40"/>
      <c r="G720" s="40"/>
    </row>
    <row r="721" spans="3:7" ht="15.75" customHeight="1" x14ac:dyDescent="0.25">
      <c r="C721" s="40"/>
      <c r="D721" s="41"/>
      <c r="E721" s="41"/>
      <c r="F721" s="40"/>
      <c r="G721" s="40"/>
    </row>
    <row r="722" spans="3:7" ht="15.75" customHeight="1" x14ac:dyDescent="0.25">
      <c r="C722" s="40"/>
      <c r="D722" s="41"/>
      <c r="E722" s="41"/>
      <c r="F722" s="40"/>
      <c r="G722" s="40"/>
    </row>
    <row r="723" spans="3:7" ht="15.75" customHeight="1" x14ac:dyDescent="0.25">
      <c r="C723" s="40"/>
      <c r="D723" s="41"/>
      <c r="E723" s="41"/>
      <c r="F723" s="40"/>
      <c r="G723" s="40"/>
    </row>
    <row r="724" spans="3:7" ht="15.75" customHeight="1" x14ac:dyDescent="0.25">
      <c r="C724" s="40"/>
      <c r="D724" s="41"/>
      <c r="E724" s="41"/>
      <c r="F724" s="40"/>
      <c r="G724" s="40"/>
    </row>
    <row r="725" spans="3:7" ht="15.75" customHeight="1" x14ac:dyDescent="0.25">
      <c r="C725" s="40"/>
      <c r="D725" s="41"/>
      <c r="E725" s="41"/>
      <c r="F725" s="40"/>
      <c r="G725" s="40"/>
    </row>
    <row r="726" spans="3:7" ht="15.75" customHeight="1" x14ac:dyDescent="0.25">
      <c r="C726" s="40"/>
      <c r="D726" s="41"/>
      <c r="E726" s="41"/>
      <c r="F726" s="40"/>
      <c r="G726" s="40"/>
    </row>
    <row r="727" spans="3:7" ht="15.75" customHeight="1" x14ac:dyDescent="0.25">
      <c r="C727" s="40"/>
      <c r="D727" s="41"/>
      <c r="E727" s="41"/>
      <c r="F727" s="40"/>
      <c r="G727" s="40"/>
    </row>
    <row r="728" spans="3:7" ht="15.75" customHeight="1" x14ac:dyDescent="0.25">
      <c r="C728" s="40"/>
      <c r="D728" s="41"/>
      <c r="E728" s="41"/>
      <c r="F728" s="40"/>
      <c r="G728" s="40"/>
    </row>
    <row r="729" spans="3:7" ht="15.75" customHeight="1" x14ac:dyDescent="0.25">
      <c r="C729" s="40"/>
      <c r="D729" s="41"/>
      <c r="E729" s="41"/>
      <c r="F729" s="40"/>
      <c r="G729" s="40"/>
    </row>
    <row r="730" spans="3:7" ht="15.75" customHeight="1" x14ac:dyDescent="0.25">
      <c r="C730" s="40"/>
      <c r="D730" s="41"/>
      <c r="E730" s="41"/>
      <c r="F730" s="40"/>
      <c r="G730" s="40"/>
    </row>
    <row r="731" spans="3:7" ht="15.75" customHeight="1" x14ac:dyDescent="0.25">
      <c r="C731" s="40"/>
      <c r="D731" s="41"/>
      <c r="E731" s="41"/>
      <c r="F731" s="40"/>
      <c r="G731" s="40"/>
    </row>
    <row r="732" spans="3:7" ht="15.75" customHeight="1" x14ac:dyDescent="0.25">
      <c r="C732" s="40"/>
      <c r="D732" s="41"/>
      <c r="E732" s="41"/>
      <c r="F732" s="40"/>
      <c r="G732" s="40"/>
    </row>
    <row r="733" spans="3:7" ht="15.75" customHeight="1" x14ac:dyDescent="0.25">
      <c r="C733" s="40"/>
      <c r="D733" s="41"/>
      <c r="E733" s="41"/>
      <c r="F733" s="40"/>
      <c r="G733" s="40"/>
    </row>
    <row r="734" spans="3:7" ht="15.75" customHeight="1" x14ac:dyDescent="0.25">
      <c r="C734" s="40"/>
      <c r="D734" s="41"/>
      <c r="E734" s="41"/>
      <c r="F734" s="40"/>
      <c r="G734" s="40"/>
    </row>
    <row r="735" spans="3:7" ht="15.75" customHeight="1" x14ac:dyDescent="0.25">
      <c r="C735" s="40"/>
      <c r="D735" s="41"/>
      <c r="E735" s="41"/>
      <c r="F735" s="40"/>
      <c r="G735" s="40"/>
    </row>
    <row r="736" spans="3:7" ht="15.75" customHeight="1" x14ac:dyDescent="0.25">
      <c r="C736" s="40"/>
      <c r="D736" s="41"/>
      <c r="E736" s="41"/>
      <c r="F736" s="40"/>
      <c r="G736" s="40"/>
    </row>
    <row r="737" spans="3:7" ht="15.75" customHeight="1" x14ac:dyDescent="0.25">
      <c r="C737" s="40"/>
      <c r="D737" s="41"/>
      <c r="E737" s="41"/>
      <c r="F737" s="40"/>
      <c r="G737" s="40"/>
    </row>
    <row r="738" spans="3:7" ht="15.75" customHeight="1" x14ac:dyDescent="0.25">
      <c r="C738" s="40"/>
      <c r="D738" s="41"/>
      <c r="E738" s="41"/>
      <c r="F738" s="40"/>
      <c r="G738" s="40"/>
    </row>
    <row r="739" spans="3:7" ht="15.75" customHeight="1" x14ac:dyDescent="0.25">
      <c r="C739" s="40"/>
      <c r="D739" s="41"/>
      <c r="E739" s="41"/>
      <c r="F739" s="40"/>
      <c r="G739" s="40"/>
    </row>
    <row r="740" spans="3:7" ht="15.75" customHeight="1" x14ac:dyDescent="0.25">
      <c r="C740" s="40"/>
      <c r="D740" s="41"/>
      <c r="E740" s="41"/>
      <c r="F740" s="40"/>
      <c r="G740" s="40"/>
    </row>
    <row r="741" spans="3:7" ht="15.75" customHeight="1" x14ac:dyDescent="0.25">
      <c r="C741" s="40"/>
      <c r="D741" s="41"/>
      <c r="E741" s="41"/>
      <c r="F741" s="40"/>
      <c r="G741" s="40"/>
    </row>
    <row r="742" spans="3:7" ht="15.75" customHeight="1" x14ac:dyDescent="0.25">
      <c r="C742" s="40"/>
      <c r="D742" s="41"/>
      <c r="E742" s="41"/>
      <c r="F742" s="40"/>
      <c r="G742" s="40"/>
    </row>
    <row r="743" spans="3:7" ht="15.75" customHeight="1" x14ac:dyDescent="0.25">
      <c r="C743" s="40"/>
      <c r="D743" s="41"/>
      <c r="E743" s="41"/>
      <c r="F743" s="40"/>
      <c r="G743" s="40"/>
    </row>
    <row r="744" spans="3:7" ht="15.75" customHeight="1" x14ac:dyDescent="0.25">
      <c r="C744" s="40"/>
      <c r="D744" s="41"/>
      <c r="E744" s="41"/>
      <c r="F744" s="40"/>
      <c r="G744" s="40"/>
    </row>
    <row r="745" spans="3:7" ht="15.75" customHeight="1" x14ac:dyDescent="0.25">
      <c r="C745" s="40"/>
      <c r="D745" s="41"/>
      <c r="E745" s="41"/>
      <c r="F745" s="40"/>
      <c r="G745" s="40"/>
    </row>
    <row r="746" spans="3:7" ht="15.75" customHeight="1" x14ac:dyDescent="0.25">
      <c r="C746" s="40"/>
      <c r="D746" s="41"/>
      <c r="E746" s="41"/>
      <c r="F746" s="40"/>
      <c r="G746" s="40"/>
    </row>
    <row r="747" spans="3:7" ht="15.75" customHeight="1" x14ac:dyDescent="0.25">
      <c r="C747" s="40"/>
      <c r="D747" s="41"/>
      <c r="E747" s="41"/>
      <c r="F747" s="40"/>
      <c r="G747" s="40"/>
    </row>
    <row r="748" spans="3:7" ht="15.75" customHeight="1" x14ac:dyDescent="0.25">
      <c r="C748" s="40"/>
      <c r="D748" s="41"/>
      <c r="E748" s="41"/>
      <c r="F748" s="40"/>
      <c r="G748" s="40"/>
    </row>
    <row r="749" spans="3:7" ht="15.75" customHeight="1" x14ac:dyDescent="0.25">
      <c r="C749" s="40"/>
      <c r="D749" s="41"/>
      <c r="E749" s="41"/>
      <c r="F749" s="40"/>
      <c r="G749" s="40"/>
    </row>
    <row r="750" spans="3:7" ht="15.75" customHeight="1" x14ac:dyDescent="0.25">
      <c r="C750" s="40"/>
      <c r="D750" s="41"/>
      <c r="E750" s="41"/>
      <c r="F750" s="40"/>
      <c r="G750" s="40"/>
    </row>
    <row r="751" spans="3:7" ht="15.75" customHeight="1" x14ac:dyDescent="0.25">
      <c r="C751" s="40"/>
      <c r="D751" s="41"/>
      <c r="E751" s="41"/>
      <c r="F751" s="40"/>
      <c r="G751" s="40"/>
    </row>
    <row r="752" spans="3:7" ht="15.75" customHeight="1" x14ac:dyDescent="0.25">
      <c r="C752" s="40"/>
      <c r="D752" s="41"/>
      <c r="E752" s="41"/>
      <c r="F752" s="40"/>
      <c r="G752" s="40"/>
    </row>
    <row r="753" spans="3:7" ht="15.75" customHeight="1" x14ac:dyDescent="0.25">
      <c r="C753" s="40"/>
      <c r="D753" s="41"/>
      <c r="E753" s="41"/>
      <c r="F753" s="40"/>
      <c r="G753" s="40"/>
    </row>
    <row r="754" spans="3:7" ht="15.75" customHeight="1" x14ac:dyDescent="0.25">
      <c r="C754" s="40"/>
      <c r="D754" s="41"/>
      <c r="E754" s="41"/>
      <c r="F754" s="40"/>
      <c r="G754" s="40"/>
    </row>
    <row r="755" spans="3:7" ht="15.75" customHeight="1" x14ac:dyDescent="0.25">
      <c r="C755" s="40"/>
      <c r="D755" s="41"/>
      <c r="E755" s="41"/>
      <c r="F755" s="40"/>
      <c r="G755" s="40"/>
    </row>
    <row r="756" spans="3:7" ht="15.75" customHeight="1" x14ac:dyDescent="0.25">
      <c r="C756" s="40"/>
      <c r="D756" s="41"/>
      <c r="E756" s="41"/>
      <c r="F756" s="40"/>
      <c r="G756" s="40"/>
    </row>
    <row r="757" spans="3:7" ht="15.75" customHeight="1" x14ac:dyDescent="0.25">
      <c r="C757" s="40"/>
      <c r="D757" s="41"/>
      <c r="E757" s="41"/>
      <c r="F757" s="40"/>
      <c r="G757" s="40"/>
    </row>
    <row r="758" spans="3:7" ht="15.75" customHeight="1" x14ac:dyDescent="0.25">
      <c r="C758" s="40"/>
      <c r="D758" s="41"/>
      <c r="E758" s="41"/>
      <c r="F758" s="40"/>
      <c r="G758" s="40"/>
    </row>
    <row r="759" spans="3:7" ht="15.75" customHeight="1" x14ac:dyDescent="0.25">
      <c r="C759" s="40"/>
      <c r="D759" s="41"/>
      <c r="E759" s="41"/>
      <c r="F759" s="40"/>
      <c r="G759" s="40"/>
    </row>
    <row r="760" spans="3:7" ht="15.75" customHeight="1" x14ac:dyDescent="0.25">
      <c r="C760" s="40"/>
      <c r="D760" s="41"/>
      <c r="E760" s="41"/>
      <c r="F760" s="40"/>
      <c r="G760" s="40"/>
    </row>
    <row r="761" spans="3:7" ht="15.75" customHeight="1" x14ac:dyDescent="0.25">
      <c r="C761" s="40"/>
      <c r="D761" s="41"/>
      <c r="E761" s="41"/>
      <c r="F761" s="40"/>
      <c r="G761" s="40"/>
    </row>
    <row r="762" spans="3:7" ht="15.75" customHeight="1" x14ac:dyDescent="0.25">
      <c r="C762" s="40"/>
      <c r="D762" s="41"/>
      <c r="E762" s="41"/>
      <c r="F762" s="40"/>
      <c r="G762" s="40"/>
    </row>
    <row r="763" spans="3:7" ht="15.75" customHeight="1" x14ac:dyDescent="0.25">
      <c r="C763" s="40"/>
      <c r="D763" s="41"/>
      <c r="E763" s="41"/>
      <c r="F763" s="40"/>
      <c r="G763" s="40"/>
    </row>
    <row r="764" spans="3:7" ht="15.75" customHeight="1" x14ac:dyDescent="0.25">
      <c r="C764" s="40"/>
      <c r="D764" s="41"/>
      <c r="E764" s="41"/>
      <c r="F764" s="40"/>
      <c r="G764" s="40"/>
    </row>
    <row r="765" spans="3:7" ht="15.75" customHeight="1" x14ac:dyDescent="0.25">
      <c r="C765" s="40"/>
      <c r="D765" s="41"/>
      <c r="E765" s="41"/>
      <c r="F765" s="40"/>
      <c r="G765" s="40"/>
    </row>
    <row r="766" spans="3:7" ht="15.75" customHeight="1" x14ac:dyDescent="0.25">
      <c r="C766" s="40"/>
      <c r="D766" s="41"/>
      <c r="E766" s="41"/>
      <c r="F766" s="40"/>
      <c r="G766" s="40"/>
    </row>
    <row r="767" spans="3:7" ht="15.75" customHeight="1" x14ac:dyDescent="0.25">
      <c r="C767" s="40"/>
      <c r="D767" s="41"/>
      <c r="E767" s="41"/>
      <c r="F767" s="40"/>
      <c r="G767" s="40"/>
    </row>
    <row r="768" spans="3:7" ht="15.75" customHeight="1" x14ac:dyDescent="0.25">
      <c r="C768" s="40"/>
      <c r="D768" s="41"/>
      <c r="E768" s="41"/>
      <c r="F768" s="40"/>
      <c r="G768" s="40"/>
    </row>
    <row r="769" spans="3:7" ht="15.75" customHeight="1" x14ac:dyDescent="0.25">
      <c r="C769" s="40"/>
      <c r="D769" s="41"/>
      <c r="E769" s="41"/>
      <c r="F769" s="40"/>
      <c r="G769" s="40"/>
    </row>
    <row r="770" spans="3:7" ht="15.75" customHeight="1" x14ac:dyDescent="0.25">
      <c r="C770" s="40"/>
      <c r="D770" s="41"/>
      <c r="E770" s="41"/>
      <c r="F770" s="40"/>
      <c r="G770" s="40"/>
    </row>
    <row r="771" spans="3:7" ht="15.75" customHeight="1" x14ac:dyDescent="0.25">
      <c r="C771" s="40"/>
      <c r="D771" s="41"/>
      <c r="E771" s="41"/>
      <c r="F771" s="40"/>
      <c r="G771" s="40"/>
    </row>
    <row r="772" spans="3:7" ht="15.75" customHeight="1" x14ac:dyDescent="0.25">
      <c r="C772" s="40"/>
      <c r="D772" s="41"/>
      <c r="E772" s="41"/>
      <c r="F772" s="40"/>
      <c r="G772" s="40"/>
    </row>
    <row r="773" spans="3:7" ht="15.75" customHeight="1" x14ac:dyDescent="0.25">
      <c r="C773" s="40"/>
      <c r="D773" s="41"/>
      <c r="E773" s="41"/>
      <c r="F773" s="40"/>
      <c r="G773" s="40"/>
    </row>
    <row r="774" spans="3:7" ht="15.75" customHeight="1" x14ac:dyDescent="0.25">
      <c r="C774" s="40"/>
      <c r="D774" s="41"/>
      <c r="E774" s="41"/>
      <c r="F774" s="40"/>
      <c r="G774" s="40"/>
    </row>
    <row r="775" spans="3:7" ht="15.75" customHeight="1" x14ac:dyDescent="0.25">
      <c r="C775" s="40"/>
      <c r="D775" s="41"/>
      <c r="E775" s="41"/>
      <c r="F775" s="40"/>
      <c r="G775" s="40"/>
    </row>
    <row r="776" spans="3:7" ht="15.75" customHeight="1" x14ac:dyDescent="0.25">
      <c r="C776" s="40"/>
      <c r="D776" s="41"/>
      <c r="E776" s="41"/>
      <c r="F776" s="40"/>
      <c r="G776" s="40"/>
    </row>
    <row r="777" spans="3:7" ht="15.75" customHeight="1" x14ac:dyDescent="0.25">
      <c r="C777" s="40"/>
      <c r="D777" s="41"/>
      <c r="E777" s="41"/>
      <c r="F777" s="40"/>
      <c r="G777" s="40"/>
    </row>
    <row r="778" spans="3:7" ht="15.75" customHeight="1" x14ac:dyDescent="0.25">
      <c r="C778" s="40"/>
      <c r="D778" s="41"/>
      <c r="E778" s="41"/>
      <c r="F778" s="40"/>
      <c r="G778" s="40"/>
    </row>
    <row r="779" spans="3:7" ht="15.75" customHeight="1" x14ac:dyDescent="0.25">
      <c r="C779" s="40"/>
      <c r="D779" s="41"/>
      <c r="E779" s="41"/>
      <c r="F779" s="40"/>
      <c r="G779" s="40"/>
    </row>
    <row r="780" spans="3:7" ht="15.75" customHeight="1" x14ac:dyDescent="0.25">
      <c r="C780" s="40"/>
      <c r="D780" s="41"/>
      <c r="E780" s="41"/>
      <c r="F780" s="40"/>
      <c r="G780" s="40"/>
    </row>
    <row r="781" spans="3:7" ht="15.75" customHeight="1" x14ac:dyDescent="0.25">
      <c r="C781" s="40"/>
      <c r="D781" s="41"/>
      <c r="E781" s="41"/>
      <c r="F781" s="40"/>
      <c r="G781" s="40"/>
    </row>
    <row r="782" spans="3:7" ht="15.75" customHeight="1" x14ac:dyDescent="0.25">
      <c r="C782" s="40"/>
      <c r="D782" s="41"/>
      <c r="E782" s="41"/>
      <c r="F782" s="40"/>
      <c r="G782" s="40"/>
    </row>
    <row r="783" spans="3:7" ht="15.75" customHeight="1" x14ac:dyDescent="0.25">
      <c r="C783" s="40"/>
      <c r="D783" s="41"/>
      <c r="E783" s="41"/>
      <c r="F783" s="40"/>
      <c r="G783" s="40"/>
    </row>
    <row r="784" spans="3:7" ht="15.75" customHeight="1" x14ac:dyDescent="0.25">
      <c r="C784" s="40"/>
      <c r="D784" s="41"/>
      <c r="E784" s="41"/>
      <c r="F784" s="40"/>
      <c r="G784" s="40"/>
    </row>
    <row r="785" spans="3:7" ht="15.75" customHeight="1" x14ac:dyDescent="0.25">
      <c r="C785" s="40"/>
      <c r="D785" s="41"/>
      <c r="E785" s="41"/>
      <c r="F785" s="40"/>
      <c r="G785" s="40"/>
    </row>
    <row r="786" spans="3:7" ht="15.75" customHeight="1" x14ac:dyDescent="0.25">
      <c r="C786" s="40"/>
      <c r="D786" s="41"/>
      <c r="E786" s="41"/>
      <c r="F786" s="40"/>
      <c r="G786" s="40"/>
    </row>
    <row r="787" spans="3:7" ht="15.75" customHeight="1" x14ac:dyDescent="0.25">
      <c r="C787" s="40"/>
      <c r="D787" s="41"/>
      <c r="E787" s="41"/>
      <c r="F787" s="40"/>
      <c r="G787" s="40"/>
    </row>
    <row r="788" spans="3:7" ht="15.75" customHeight="1" x14ac:dyDescent="0.25">
      <c r="C788" s="40"/>
      <c r="D788" s="41"/>
      <c r="E788" s="41"/>
      <c r="F788" s="40"/>
      <c r="G788" s="40"/>
    </row>
    <row r="789" spans="3:7" ht="15.75" customHeight="1" x14ac:dyDescent="0.25">
      <c r="C789" s="40"/>
      <c r="D789" s="41"/>
      <c r="E789" s="41"/>
      <c r="F789" s="40"/>
      <c r="G789" s="40"/>
    </row>
    <row r="790" spans="3:7" ht="15.75" customHeight="1" x14ac:dyDescent="0.25">
      <c r="C790" s="40"/>
      <c r="D790" s="41"/>
      <c r="E790" s="41"/>
      <c r="F790" s="40"/>
      <c r="G790" s="40"/>
    </row>
    <row r="791" spans="3:7" ht="15.75" customHeight="1" x14ac:dyDescent="0.25">
      <c r="C791" s="40"/>
      <c r="D791" s="41"/>
      <c r="E791" s="41"/>
      <c r="F791" s="40"/>
      <c r="G791" s="40"/>
    </row>
    <row r="792" spans="3:7" ht="15.75" customHeight="1" x14ac:dyDescent="0.25">
      <c r="C792" s="40"/>
      <c r="D792" s="41"/>
      <c r="E792" s="41"/>
      <c r="F792" s="40"/>
      <c r="G792" s="40"/>
    </row>
    <row r="793" spans="3:7" ht="15.75" customHeight="1" x14ac:dyDescent="0.25">
      <c r="C793" s="40"/>
      <c r="D793" s="41"/>
      <c r="E793" s="41"/>
      <c r="F793" s="40"/>
      <c r="G793" s="40"/>
    </row>
    <row r="794" spans="3:7" ht="15.75" customHeight="1" x14ac:dyDescent="0.25">
      <c r="C794" s="40"/>
      <c r="D794" s="41"/>
      <c r="E794" s="41"/>
      <c r="F794" s="40"/>
      <c r="G794" s="40"/>
    </row>
    <row r="795" spans="3:7" ht="15.75" customHeight="1" x14ac:dyDescent="0.25">
      <c r="C795" s="40"/>
      <c r="D795" s="41"/>
      <c r="E795" s="41"/>
      <c r="F795" s="40"/>
      <c r="G795" s="40"/>
    </row>
    <row r="796" spans="3:7" ht="15.75" customHeight="1" x14ac:dyDescent="0.25">
      <c r="C796" s="40"/>
      <c r="D796" s="41"/>
      <c r="E796" s="41"/>
      <c r="F796" s="40"/>
      <c r="G796" s="40"/>
    </row>
    <row r="797" spans="3:7" ht="15.75" customHeight="1" x14ac:dyDescent="0.25">
      <c r="C797" s="40"/>
      <c r="D797" s="41"/>
      <c r="E797" s="41"/>
      <c r="F797" s="40"/>
      <c r="G797" s="40"/>
    </row>
    <row r="798" spans="3:7" ht="15.75" customHeight="1" x14ac:dyDescent="0.25">
      <c r="C798" s="40"/>
      <c r="D798" s="41"/>
      <c r="E798" s="41"/>
      <c r="F798" s="40"/>
      <c r="G798" s="40"/>
    </row>
    <row r="799" spans="3:7" ht="15.75" customHeight="1" x14ac:dyDescent="0.25">
      <c r="C799" s="40"/>
      <c r="D799" s="41"/>
      <c r="E799" s="41"/>
      <c r="F799" s="40"/>
      <c r="G799" s="40"/>
    </row>
    <row r="800" spans="3:7" ht="15.75" customHeight="1" x14ac:dyDescent="0.25">
      <c r="C800" s="40"/>
      <c r="D800" s="41"/>
      <c r="E800" s="41"/>
      <c r="F800" s="40"/>
      <c r="G800" s="40"/>
    </row>
    <row r="801" spans="3:7" ht="15.75" customHeight="1" x14ac:dyDescent="0.25">
      <c r="C801" s="40"/>
      <c r="D801" s="41"/>
      <c r="E801" s="41"/>
      <c r="F801" s="40"/>
      <c r="G801" s="40"/>
    </row>
    <row r="802" spans="3:7" ht="15.75" customHeight="1" x14ac:dyDescent="0.25">
      <c r="C802" s="40"/>
      <c r="D802" s="41"/>
      <c r="E802" s="41"/>
      <c r="F802" s="40"/>
      <c r="G802" s="40"/>
    </row>
    <row r="803" spans="3:7" ht="15.75" customHeight="1" x14ac:dyDescent="0.25">
      <c r="C803" s="40"/>
      <c r="D803" s="41"/>
      <c r="E803" s="41"/>
      <c r="F803" s="40"/>
      <c r="G803" s="40"/>
    </row>
    <row r="804" spans="3:7" ht="15.75" customHeight="1" x14ac:dyDescent="0.25">
      <c r="C804" s="40"/>
      <c r="D804" s="41"/>
      <c r="E804" s="41"/>
      <c r="F804" s="40"/>
      <c r="G804" s="40"/>
    </row>
    <row r="805" spans="3:7" ht="15.75" customHeight="1" x14ac:dyDescent="0.25">
      <c r="C805" s="40"/>
      <c r="D805" s="41"/>
      <c r="E805" s="41"/>
      <c r="F805" s="40"/>
      <c r="G805" s="40"/>
    </row>
    <row r="806" spans="3:7" ht="15.75" customHeight="1" x14ac:dyDescent="0.25">
      <c r="C806" s="40"/>
      <c r="D806" s="41"/>
      <c r="E806" s="41"/>
      <c r="F806" s="40"/>
      <c r="G806" s="40"/>
    </row>
    <row r="807" spans="3:7" ht="15.75" customHeight="1" x14ac:dyDescent="0.25">
      <c r="C807" s="40"/>
      <c r="D807" s="41"/>
      <c r="E807" s="41"/>
      <c r="F807" s="40"/>
      <c r="G807" s="40"/>
    </row>
    <row r="808" spans="3:7" ht="15.75" customHeight="1" x14ac:dyDescent="0.25">
      <c r="C808" s="40"/>
      <c r="D808" s="41"/>
      <c r="E808" s="41"/>
      <c r="F808" s="40"/>
      <c r="G808" s="40"/>
    </row>
    <row r="809" spans="3:7" ht="15.75" customHeight="1" x14ac:dyDescent="0.25">
      <c r="C809" s="40"/>
      <c r="D809" s="41"/>
      <c r="E809" s="41"/>
      <c r="F809" s="40"/>
      <c r="G809" s="40"/>
    </row>
    <row r="810" spans="3:7" ht="15.75" customHeight="1" x14ac:dyDescent="0.25">
      <c r="C810" s="40"/>
      <c r="D810" s="41"/>
      <c r="E810" s="41"/>
      <c r="F810" s="40"/>
      <c r="G810" s="40"/>
    </row>
    <row r="811" spans="3:7" ht="15.75" customHeight="1" x14ac:dyDescent="0.25">
      <c r="C811" s="40"/>
      <c r="D811" s="41"/>
      <c r="E811" s="41"/>
      <c r="F811" s="40"/>
      <c r="G811" s="40"/>
    </row>
    <row r="812" spans="3:7" ht="15.75" customHeight="1" x14ac:dyDescent="0.25">
      <c r="C812" s="40"/>
      <c r="D812" s="41"/>
      <c r="E812" s="41"/>
      <c r="F812" s="40"/>
      <c r="G812" s="40"/>
    </row>
    <row r="813" spans="3:7" ht="15.75" customHeight="1" x14ac:dyDescent="0.25">
      <c r="C813" s="40"/>
      <c r="D813" s="41"/>
      <c r="E813" s="41"/>
      <c r="F813" s="40"/>
      <c r="G813" s="40"/>
    </row>
    <row r="814" spans="3:7" ht="15.75" customHeight="1" x14ac:dyDescent="0.25">
      <c r="C814" s="40"/>
      <c r="D814" s="41"/>
      <c r="E814" s="41"/>
      <c r="F814" s="40"/>
      <c r="G814" s="40"/>
    </row>
    <row r="815" spans="3:7" ht="15.75" customHeight="1" x14ac:dyDescent="0.25">
      <c r="C815" s="40"/>
      <c r="D815" s="41"/>
      <c r="E815" s="41"/>
      <c r="F815" s="40"/>
      <c r="G815" s="40"/>
    </row>
    <row r="816" spans="3:7" ht="15.75" customHeight="1" x14ac:dyDescent="0.25">
      <c r="C816" s="40"/>
      <c r="D816" s="41"/>
      <c r="E816" s="41"/>
      <c r="F816" s="40"/>
      <c r="G816" s="40"/>
    </row>
    <row r="817" spans="3:7" ht="15.75" customHeight="1" x14ac:dyDescent="0.25">
      <c r="C817" s="40"/>
      <c r="D817" s="41"/>
      <c r="E817" s="41"/>
      <c r="F817" s="40"/>
      <c r="G817" s="40"/>
    </row>
    <row r="818" spans="3:7" ht="15.75" customHeight="1" x14ac:dyDescent="0.25">
      <c r="C818" s="40"/>
      <c r="D818" s="41"/>
      <c r="E818" s="41"/>
      <c r="F818" s="40"/>
      <c r="G818" s="40"/>
    </row>
    <row r="819" spans="3:7" ht="15.75" customHeight="1" x14ac:dyDescent="0.25">
      <c r="C819" s="40"/>
      <c r="D819" s="41"/>
      <c r="E819" s="41"/>
      <c r="F819" s="40"/>
      <c r="G819" s="40"/>
    </row>
    <row r="820" spans="3:7" ht="15.75" customHeight="1" x14ac:dyDescent="0.25">
      <c r="C820" s="40"/>
      <c r="D820" s="41"/>
      <c r="E820" s="41"/>
      <c r="F820" s="40"/>
      <c r="G820" s="40"/>
    </row>
    <row r="821" spans="3:7" ht="15.75" customHeight="1" x14ac:dyDescent="0.25">
      <c r="C821" s="40"/>
      <c r="D821" s="41"/>
      <c r="E821" s="41"/>
      <c r="F821" s="40"/>
      <c r="G821" s="40"/>
    </row>
    <row r="822" spans="3:7" ht="15.75" customHeight="1" x14ac:dyDescent="0.25">
      <c r="C822" s="40"/>
      <c r="D822" s="41"/>
      <c r="E822" s="41"/>
      <c r="F822" s="40"/>
      <c r="G822" s="40"/>
    </row>
    <row r="823" spans="3:7" ht="15.75" customHeight="1" x14ac:dyDescent="0.25">
      <c r="C823" s="40"/>
      <c r="D823" s="41"/>
      <c r="E823" s="41"/>
      <c r="F823" s="40"/>
      <c r="G823" s="40"/>
    </row>
    <row r="824" spans="3:7" ht="15.75" customHeight="1" x14ac:dyDescent="0.25">
      <c r="C824" s="40"/>
      <c r="D824" s="41"/>
      <c r="E824" s="41"/>
      <c r="F824" s="40"/>
      <c r="G824" s="40"/>
    </row>
    <row r="825" spans="3:7" ht="15.75" customHeight="1" x14ac:dyDescent="0.25">
      <c r="C825" s="40"/>
      <c r="D825" s="41"/>
      <c r="E825" s="41"/>
      <c r="F825" s="40"/>
      <c r="G825" s="40"/>
    </row>
    <row r="826" spans="3:7" ht="15.75" customHeight="1" x14ac:dyDescent="0.25">
      <c r="C826" s="40"/>
      <c r="D826" s="41"/>
      <c r="E826" s="41"/>
      <c r="F826" s="40"/>
      <c r="G826" s="40"/>
    </row>
    <row r="827" spans="3:7" ht="15.75" customHeight="1" x14ac:dyDescent="0.25">
      <c r="C827" s="40"/>
      <c r="D827" s="41"/>
      <c r="E827" s="41"/>
      <c r="F827" s="40"/>
      <c r="G827" s="40"/>
    </row>
    <row r="828" spans="3:7" ht="15.75" customHeight="1" x14ac:dyDescent="0.25">
      <c r="C828" s="40"/>
      <c r="D828" s="41"/>
      <c r="E828" s="41"/>
      <c r="F828" s="40"/>
      <c r="G828" s="40"/>
    </row>
    <row r="829" spans="3:7" ht="15.75" customHeight="1" x14ac:dyDescent="0.25">
      <c r="C829" s="40"/>
      <c r="D829" s="41"/>
      <c r="E829" s="41"/>
      <c r="F829" s="40"/>
      <c r="G829" s="40"/>
    </row>
    <row r="830" spans="3:7" ht="15.75" customHeight="1" x14ac:dyDescent="0.25">
      <c r="C830" s="40"/>
      <c r="D830" s="41"/>
      <c r="E830" s="41"/>
      <c r="F830" s="40"/>
      <c r="G830" s="40"/>
    </row>
    <row r="831" spans="3:7" ht="15.75" customHeight="1" x14ac:dyDescent="0.25">
      <c r="C831" s="40"/>
      <c r="D831" s="41"/>
      <c r="E831" s="41"/>
      <c r="F831" s="40"/>
      <c r="G831" s="40"/>
    </row>
    <row r="832" spans="3:7" ht="15.75" customHeight="1" x14ac:dyDescent="0.25">
      <c r="C832" s="40"/>
      <c r="D832" s="41"/>
      <c r="E832" s="41"/>
      <c r="F832" s="40"/>
      <c r="G832" s="40"/>
    </row>
    <row r="833" spans="3:7" ht="15.75" customHeight="1" x14ac:dyDescent="0.25">
      <c r="C833" s="40"/>
      <c r="D833" s="41"/>
      <c r="E833" s="41"/>
      <c r="F833" s="40"/>
      <c r="G833" s="40"/>
    </row>
    <row r="834" spans="3:7" ht="15.75" customHeight="1" x14ac:dyDescent="0.25">
      <c r="C834" s="40"/>
      <c r="D834" s="41"/>
      <c r="E834" s="41"/>
      <c r="F834" s="40"/>
      <c r="G834" s="40"/>
    </row>
    <row r="835" spans="3:7" ht="15.75" customHeight="1" x14ac:dyDescent="0.25">
      <c r="C835" s="40"/>
      <c r="D835" s="41"/>
      <c r="E835" s="41"/>
      <c r="F835" s="40"/>
      <c r="G835" s="40"/>
    </row>
    <row r="836" spans="3:7" ht="15.75" customHeight="1" x14ac:dyDescent="0.25">
      <c r="C836" s="40"/>
      <c r="D836" s="41"/>
      <c r="E836" s="41"/>
      <c r="F836" s="40"/>
      <c r="G836" s="40"/>
    </row>
    <row r="837" spans="3:7" ht="15.75" customHeight="1" x14ac:dyDescent="0.25">
      <c r="C837" s="40"/>
      <c r="D837" s="41"/>
      <c r="E837" s="41"/>
      <c r="F837" s="40"/>
      <c r="G837" s="40"/>
    </row>
    <row r="838" spans="3:7" ht="15.75" customHeight="1" x14ac:dyDescent="0.25">
      <c r="C838" s="40"/>
      <c r="D838" s="41"/>
      <c r="E838" s="41"/>
      <c r="F838" s="40"/>
      <c r="G838" s="40"/>
    </row>
    <row r="839" spans="3:7" ht="15.75" customHeight="1" x14ac:dyDescent="0.25">
      <c r="C839" s="40"/>
      <c r="D839" s="41"/>
      <c r="E839" s="41"/>
      <c r="F839" s="40"/>
      <c r="G839" s="40"/>
    </row>
    <row r="840" spans="3:7" ht="15.75" customHeight="1" x14ac:dyDescent="0.25">
      <c r="C840" s="40"/>
      <c r="D840" s="41"/>
      <c r="E840" s="41"/>
      <c r="F840" s="40"/>
      <c r="G840" s="40"/>
    </row>
    <row r="841" spans="3:7" ht="15.75" customHeight="1" x14ac:dyDescent="0.25">
      <c r="C841" s="40"/>
      <c r="D841" s="41"/>
      <c r="E841" s="41"/>
      <c r="F841" s="40"/>
      <c r="G841" s="40"/>
    </row>
    <row r="842" spans="3:7" ht="15.75" customHeight="1" x14ac:dyDescent="0.25">
      <c r="C842" s="40"/>
      <c r="D842" s="41"/>
      <c r="E842" s="41"/>
      <c r="F842" s="40"/>
      <c r="G842" s="40"/>
    </row>
    <row r="843" spans="3:7" ht="15.75" customHeight="1" x14ac:dyDescent="0.25">
      <c r="C843" s="40"/>
      <c r="D843" s="41"/>
      <c r="E843" s="41"/>
      <c r="F843" s="40"/>
      <c r="G843" s="40"/>
    </row>
    <row r="844" spans="3:7" ht="15.75" customHeight="1" x14ac:dyDescent="0.25">
      <c r="C844" s="40"/>
      <c r="D844" s="41"/>
      <c r="E844" s="41"/>
      <c r="F844" s="40"/>
      <c r="G844" s="40"/>
    </row>
    <row r="845" spans="3:7" ht="15.75" customHeight="1" x14ac:dyDescent="0.25">
      <c r="C845" s="40"/>
      <c r="D845" s="41"/>
      <c r="E845" s="41"/>
      <c r="F845" s="40"/>
      <c r="G845" s="40"/>
    </row>
    <row r="846" spans="3:7" ht="15.75" customHeight="1" x14ac:dyDescent="0.25">
      <c r="C846" s="40"/>
      <c r="D846" s="41"/>
      <c r="E846" s="41"/>
      <c r="F846" s="40"/>
      <c r="G846" s="40"/>
    </row>
    <row r="847" spans="3:7" ht="15.75" customHeight="1" x14ac:dyDescent="0.25">
      <c r="C847" s="40"/>
      <c r="D847" s="41"/>
      <c r="E847" s="41"/>
      <c r="F847" s="40"/>
      <c r="G847" s="40"/>
    </row>
    <row r="848" spans="3:7" ht="15.75" customHeight="1" x14ac:dyDescent="0.25">
      <c r="C848" s="40"/>
      <c r="D848" s="41"/>
      <c r="E848" s="41"/>
      <c r="F848" s="40"/>
      <c r="G848" s="40"/>
    </row>
    <row r="849" spans="3:7" ht="15.75" customHeight="1" x14ac:dyDescent="0.25">
      <c r="C849" s="40"/>
      <c r="D849" s="41"/>
      <c r="E849" s="41"/>
      <c r="F849" s="40"/>
      <c r="G849" s="40"/>
    </row>
    <row r="850" spans="3:7" ht="15.75" customHeight="1" x14ac:dyDescent="0.25">
      <c r="C850" s="40"/>
      <c r="D850" s="41"/>
      <c r="E850" s="41"/>
      <c r="F850" s="40"/>
      <c r="G850" s="40"/>
    </row>
    <row r="851" spans="3:7" ht="15.75" customHeight="1" x14ac:dyDescent="0.25">
      <c r="C851" s="40"/>
      <c r="D851" s="41"/>
      <c r="E851" s="41"/>
      <c r="F851" s="40"/>
      <c r="G851" s="40"/>
    </row>
    <row r="852" spans="3:7" ht="15.75" customHeight="1" x14ac:dyDescent="0.25">
      <c r="C852" s="40"/>
      <c r="D852" s="41"/>
      <c r="E852" s="41"/>
      <c r="F852" s="40"/>
      <c r="G852" s="40"/>
    </row>
    <row r="853" spans="3:7" ht="15.75" customHeight="1" x14ac:dyDescent="0.25">
      <c r="C853" s="40"/>
      <c r="D853" s="41"/>
      <c r="E853" s="41"/>
      <c r="F853" s="40"/>
      <c r="G853" s="40"/>
    </row>
    <row r="854" spans="3:7" ht="15.75" customHeight="1" x14ac:dyDescent="0.25">
      <c r="C854" s="40"/>
      <c r="D854" s="41"/>
      <c r="E854" s="41"/>
      <c r="F854" s="40"/>
      <c r="G854" s="40"/>
    </row>
    <row r="855" spans="3:7" ht="15.75" customHeight="1" x14ac:dyDescent="0.25">
      <c r="C855" s="40"/>
      <c r="D855" s="41"/>
      <c r="E855" s="41"/>
      <c r="F855" s="40"/>
      <c r="G855" s="40"/>
    </row>
    <row r="856" spans="3:7" ht="15.75" customHeight="1" x14ac:dyDescent="0.25">
      <c r="C856" s="40"/>
      <c r="D856" s="41"/>
      <c r="E856" s="41"/>
      <c r="F856" s="40"/>
      <c r="G856" s="40"/>
    </row>
    <row r="857" spans="3:7" ht="15.75" customHeight="1" x14ac:dyDescent="0.25">
      <c r="C857" s="40"/>
      <c r="D857" s="41"/>
      <c r="E857" s="41"/>
      <c r="F857" s="40"/>
      <c r="G857" s="40"/>
    </row>
    <row r="858" spans="3:7" ht="15.75" customHeight="1" x14ac:dyDescent="0.25">
      <c r="C858" s="40"/>
      <c r="D858" s="41"/>
      <c r="E858" s="41"/>
      <c r="F858" s="40"/>
      <c r="G858" s="40"/>
    </row>
    <row r="859" spans="3:7" ht="15.75" customHeight="1" x14ac:dyDescent="0.25">
      <c r="C859" s="40"/>
      <c r="D859" s="41"/>
      <c r="E859" s="41"/>
      <c r="F859" s="40"/>
      <c r="G859" s="40"/>
    </row>
    <row r="860" spans="3:7" ht="15.75" customHeight="1" x14ac:dyDescent="0.25">
      <c r="C860" s="40"/>
      <c r="D860" s="41"/>
      <c r="E860" s="41"/>
      <c r="F860" s="40"/>
      <c r="G860" s="40"/>
    </row>
    <row r="861" spans="3:7" ht="15.75" customHeight="1" x14ac:dyDescent="0.25">
      <c r="C861" s="40"/>
      <c r="D861" s="41"/>
      <c r="E861" s="41"/>
      <c r="F861" s="40"/>
      <c r="G861" s="40"/>
    </row>
    <row r="862" spans="3:7" ht="15.75" customHeight="1" x14ac:dyDescent="0.25">
      <c r="C862" s="40"/>
      <c r="D862" s="41"/>
      <c r="E862" s="41"/>
      <c r="F862" s="40"/>
      <c r="G862" s="40"/>
    </row>
    <row r="863" spans="3:7" ht="15.75" customHeight="1" x14ac:dyDescent="0.25">
      <c r="C863" s="40"/>
      <c r="D863" s="41"/>
      <c r="E863" s="41"/>
      <c r="F863" s="40"/>
      <c r="G863" s="40"/>
    </row>
    <row r="864" spans="3:7" ht="15.75" customHeight="1" x14ac:dyDescent="0.25">
      <c r="C864" s="40"/>
      <c r="D864" s="41"/>
      <c r="E864" s="41"/>
      <c r="F864" s="40"/>
      <c r="G864" s="40"/>
    </row>
    <row r="865" spans="3:7" ht="15.75" customHeight="1" x14ac:dyDescent="0.25">
      <c r="C865" s="40"/>
      <c r="D865" s="41"/>
      <c r="E865" s="41"/>
      <c r="F865" s="40"/>
      <c r="G865" s="40"/>
    </row>
    <row r="866" spans="3:7" ht="15.75" customHeight="1" x14ac:dyDescent="0.25">
      <c r="C866" s="40"/>
      <c r="D866" s="41"/>
      <c r="E866" s="41"/>
      <c r="F866" s="40"/>
      <c r="G866" s="40"/>
    </row>
    <row r="867" spans="3:7" ht="15.75" customHeight="1" x14ac:dyDescent="0.25">
      <c r="C867" s="40"/>
      <c r="D867" s="41"/>
      <c r="E867" s="41"/>
      <c r="F867" s="40"/>
      <c r="G867" s="40"/>
    </row>
    <row r="868" spans="3:7" ht="15.75" customHeight="1" x14ac:dyDescent="0.25">
      <c r="C868" s="40"/>
      <c r="D868" s="41"/>
      <c r="E868" s="41"/>
      <c r="F868" s="40"/>
      <c r="G868" s="40"/>
    </row>
    <row r="869" spans="3:7" ht="15.75" customHeight="1" x14ac:dyDescent="0.25">
      <c r="C869" s="40"/>
      <c r="D869" s="41"/>
      <c r="E869" s="41"/>
      <c r="F869" s="40"/>
      <c r="G869" s="40"/>
    </row>
    <row r="870" spans="3:7" ht="15.75" customHeight="1" x14ac:dyDescent="0.25">
      <c r="C870" s="40"/>
      <c r="D870" s="41"/>
      <c r="E870" s="41"/>
      <c r="F870" s="40"/>
      <c r="G870" s="40"/>
    </row>
    <row r="871" spans="3:7" ht="15.75" customHeight="1" x14ac:dyDescent="0.25">
      <c r="C871" s="40"/>
      <c r="D871" s="41"/>
      <c r="E871" s="41"/>
      <c r="F871" s="40"/>
      <c r="G871" s="40"/>
    </row>
    <row r="872" spans="3:7" ht="15.75" customHeight="1" x14ac:dyDescent="0.25">
      <c r="C872" s="40"/>
      <c r="D872" s="41"/>
      <c r="E872" s="41"/>
      <c r="F872" s="40"/>
      <c r="G872" s="40"/>
    </row>
    <row r="873" spans="3:7" ht="15.75" customHeight="1" x14ac:dyDescent="0.25">
      <c r="C873" s="40"/>
      <c r="D873" s="41"/>
      <c r="E873" s="41"/>
      <c r="F873" s="40"/>
      <c r="G873" s="40"/>
    </row>
    <row r="874" spans="3:7" ht="15.75" customHeight="1" x14ac:dyDescent="0.25">
      <c r="C874" s="40"/>
      <c r="D874" s="41"/>
      <c r="E874" s="41"/>
      <c r="F874" s="40"/>
      <c r="G874" s="40"/>
    </row>
    <row r="875" spans="3:7" ht="15.75" customHeight="1" x14ac:dyDescent="0.25">
      <c r="C875" s="40"/>
      <c r="D875" s="41"/>
      <c r="E875" s="41"/>
      <c r="F875" s="40"/>
      <c r="G875" s="40"/>
    </row>
    <row r="876" spans="3:7" ht="15.75" customHeight="1" x14ac:dyDescent="0.25">
      <c r="C876" s="40"/>
      <c r="D876" s="41"/>
      <c r="E876" s="41"/>
      <c r="F876" s="40"/>
      <c r="G876" s="40"/>
    </row>
    <row r="877" spans="3:7" ht="15.75" customHeight="1" x14ac:dyDescent="0.25">
      <c r="C877" s="40"/>
      <c r="D877" s="41"/>
      <c r="E877" s="41"/>
      <c r="F877" s="40"/>
      <c r="G877" s="40"/>
    </row>
    <row r="878" spans="3:7" ht="15.75" customHeight="1" x14ac:dyDescent="0.25">
      <c r="C878" s="40"/>
      <c r="D878" s="41"/>
      <c r="E878" s="41"/>
      <c r="F878" s="40"/>
      <c r="G878" s="40"/>
    </row>
    <row r="879" spans="3:7" ht="15.75" customHeight="1" x14ac:dyDescent="0.25">
      <c r="C879" s="40"/>
      <c r="D879" s="41"/>
      <c r="E879" s="41"/>
      <c r="F879" s="40"/>
      <c r="G879" s="40"/>
    </row>
    <row r="880" spans="3:7" ht="15.75" customHeight="1" x14ac:dyDescent="0.25">
      <c r="C880" s="40"/>
      <c r="D880" s="41"/>
      <c r="E880" s="41"/>
      <c r="F880" s="40"/>
      <c r="G880" s="40"/>
    </row>
    <row r="881" spans="3:7" ht="15.75" customHeight="1" x14ac:dyDescent="0.25">
      <c r="C881" s="40"/>
      <c r="D881" s="41"/>
      <c r="E881" s="41"/>
      <c r="F881" s="40"/>
      <c r="G881" s="40"/>
    </row>
    <row r="882" spans="3:7" ht="15.75" customHeight="1" x14ac:dyDescent="0.25">
      <c r="C882" s="40"/>
      <c r="D882" s="41"/>
      <c r="E882" s="41"/>
      <c r="F882" s="40"/>
      <c r="G882" s="40"/>
    </row>
    <row r="883" spans="3:7" ht="15.75" customHeight="1" x14ac:dyDescent="0.25">
      <c r="C883" s="40"/>
      <c r="D883" s="41"/>
      <c r="E883" s="41"/>
      <c r="F883" s="40"/>
      <c r="G883" s="40"/>
    </row>
    <row r="884" spans="3:7" ht="15.75" customHeight="1" x14ac:dyDescent="0.25">
      <c r="C884" s="40"/>
      <c r="D884" s="41"/>
      <c r="E884" s="41"/>
      <c r="F884" s="40"/>
      <c r="G884" s="40"/>
    </row>
    <row r="885" spans="3:7" ht="15.75" customHeight="1" x14ac:dyDescent="0.25">
      <c r="C885" s="40"/>
      <c r="D885" s="41"/>
      <c r="E885" s="41"/>
      <c r="F885" s="40"/>
      <c r="G885" s="40"/>
    </row>
    <row r="886" spans="3:7" ht="15.75" customHeight="1" x14ac:dyDescent="0.25">
      <c r="C886" s="40"/>
      <c r="D886" s="41"/>
      <c r="E886" s="41"/>
      <c r="F886" s="40"/>
      <c r="G886" s="40"/>
    </row>
    <row r="887" spans="3:7" ht="15.75" customHeight="1" x14ac:dyDescent="0.25">
      <c r="C887" s="40"/>
      <c r="D887" s="41"/>
      <c r="E887" s="41"/>
      <c r="F887" s="40"/>
      <c r="G887" s="40"/>
    </row>
    <row r="888" spans="3:7" ht="15.75" customHeight="1" x14ac:dyDescent="0.25">
      <c r="C888" s="40"/>
      <c r="D888" s="41"/>
      <c r="E888" s="41"/>
      <c r="F888" s="40"/>
      <c r="G888" s="40"/>
    </row>
    <row r="889" spans="3:7" ht="15.75" customHeight="1" x14ac:dyDescent="0.25">
      <c r="C889" s="40"/>
      <c r="D889" s="41"/>
      <c r="E889" s="41"/>
      <c r="F889" s="40"/>
      <c r="G889" s="40"/>
    </row>
    <row r="890" spans="3:7" ht="15.75" customHeight="1" x14ac:dyDescent="0.25">
      <c r="C890" s="40"/>
      <c r="D890" s="41"/>
      <c r="E890" s="41"/>
      <c r="F890" s="40"/>
      <c r="G890" s="40"/>
    </row>
    <row r="891" spans="3:7" ht="15.75" customHeight="1" x14ac:dyDescent="0.25">
      <c r="C891" s="40"/>
      <c r="D891" s="41"/>
      <c r="E891" s="41"/>
      <c r="F891" s="40"/>
      <c r="G891" s="40"/>
    </row>
    <row r="892" spans="3:7" ht="15.75" customHeight="1" x14ac:dyDescent="0.25">
      <c r="C892" s="40"/>
      <c r="D892" s="41"/>
      <c r="E892" s="41"/>
      <c r="F892" s="40"/>
      <c r="G892" s="40"/>
    </row>
    <row r="893" spans="3:7" ht="15.75" customHeight="1" x14ac:dyDescent="0.25">
      <c r="C893" s="40"/>
      <c r="D893" s="41"/>
      <c r="E893" s="41"/>
      <c r="F893" s="40"/>
      <c r="G893" s="40"/>
    </row>
    <row r="894" spans="3:7" ht="15.75" customHeight="1" x14ac:dyDescent="0.25">
      <c r="C894" s="40"/>
      <c r="D894" s="41"/>
      <c r="E894" s="41"/>
      <c r="F894" s="40"/>
      <c r="G894" s="40"/>
    </row>
    <row r="895" spans="3:7" ht="15.75" customHeight="1" x14ac:dyDescent="0.25">
      <c r="C895" s="40"/>
      <c r="D895" s="41"/>
      <c r="E895" s="41"/>
      <c r="F895" s="40"/>
      <c r="G895" s="40"/>
    </row>
    <row r="896" spans="3:7" ht="15.75" customHeight="1" x14ac:dyDescent="0.25">
      <c r="C896" s="40"/>
      <c r="D896" s="41"/>
      <c r="E896" s="41"/>
      <c r="F896" s="40"/>
      <c r="G896" s="40"/>
    </row>
    <row r="897" spans="3:7" ht="15.75" customHeight="1" x14ac:dyDescent="0.25">
      <c r="C897" s="40"/>
      <c r="D897" s="41"/>
      <c r="E897" s="41"/>
      <c r="F897" s="40"/>
      <c r="G897" s="40"/>
    </row>
    <row r="898" spans="3:7" ht="15.75" customHeight="1" x14ac:dyDescent="0.25">
      <c r="C898" s="40"/>
      <c r="D898" s="41"/>
      <c r="E898" s="41"/>
      <c r="F898" s="40"/>
      <c r="G898" s="40"/>
    </row>
    <row r="899" spans="3:7" ht="15.75" customHeight="1" x14ac:dyDescent="0.25">
      <c r="C899" s="40"/>
      <c r="D899" s="41"/>
      <c r="E899" s="41"/>
      <c r="F899" s="40"/>
      <c r="G899" s="40"/>
    </row>
    <row r="900" spans="3:7" ht="15.75" customHeight="1" x14ac:dyDescent="0.25">
      <c r="C900" s="40"/>
      <c r="D900" s="41"/>
      <c r="E900" s="41"/>
      <c r="F900" s="40"/>
      <c r="G900" s="40"/>
    </row>
    <row r="901" spans="3:7" ht="15.75" customHeight="1" x14ac:dyDescent="0.25">
      <c r="C901" s="40"/>
      <c r="D901" s="41"/>
      <c r="E901" s="41"/>
      <c r="F901" s="40"/>
      <c r="G901" s="40"/>
    </row>
    <row r="902" spans="3:7" ht="15.75" customHeight="1" x14ac:dyDescent="0.25">
      <c r="C902" s="40"/>
      <c r="D902" s="41"/>
      <c r="E902" s="41"/>
      <c r="F902" s="40"/>
      <c r="G902" s="40"/>
    </row>
    <row r="903" spans="3:7" ht="15.75" customHeight="1" x14ac:dyDescent="0.25">
      <c r="C903" s="40"/>
      <c r="D903" s="41"/>
      <c r="E903" s="41"/>
      <c r="F903" s="40"/>
      <c r="G903" s="40"/>
    </row>
    <row r="904" spans="3:7" ht="15.75" customHeight="1" x14ac:dyDescent="0.25">
      <c r="C904" s="40"/>
      <c r="D904" s="41"/>
      <c r="E904" s="41"/>
      <c r="F904" s="40"/>
      <c r="G904" s="40"/>
    </row>
    <row r="905" spans="3:7" ht="15.75" customHeight="1" x14ac:dyDescent="0.25">
      <c r="C905" s="40"/>
      <c r="D905" s="41"/>
      <c r="E905" s="41"/>
      <c r="F905" s="40"/>
      <c r="G905" s="40"/>
    </row>
    <row r="906" spans="3:7" ht="15.75" customHeight="1" x14ac:dyDescent="0.25">
      <c r="C906" s="40"/>
      <c r="D906" s="41"/>
      <c r="E906" s="41"/>
      <c r="F906" s="40"/>
      <c r="G906" s="40"/>
    </row>
    <row r="907" spans="3:7" ht="15.75" customHeight="1" x14ac:dyDescent="0.25">
      <c r="C907" s="40"/>
      <c r="D907" s="41"/>
      <c r="E907" s="41"/>
      <c r="F907" s="40"/>
      <c r="G907" s="40"/>
    </row>
    <row r="908" spans="3:7" ht="15.75" customHeight="1" x14ac:dyDescent="0.25">
      <c r="C908" s="40"/>
      <c r="D908" s="41"/>
      <c r="E908" s="41"/>
      <c r="F908" s="40"/>
      <c r="G908" s="40"/>
    </row>
    <row r="909" spans="3:7" ht="15.75" customHeight="1" x14ac:dyDescent="0.25">
      <c r="C909" s="40"/>
      <c r="D909" s="41"/>
      <c r="E909" s="41"/>
      <c r="F909" s="40"/>
      <c r="G909" s="40"/>
    </row>
    <row r="910" spans="3:7" ht="15.75" customHeight="1" x14ac:dyDescent="0.25">
      <c r="C910" s="40"/>
      <c r="D910" s="41"/>
      <c r="E910" s="41"/>
      <c r="F910" s="40"/>
      <c r="G910" s="40"/>
    </row>
    <row r="911" spans="3:7" ht="15.75" customHeight="1" x14ac:dyDescent="0.25">
      <c r="C911" s="40"/>
      <c r="D911" s="41"/>
      <c r="E911" s="41"/>
      <c r="F911" s="40"/>
      <c r="G911" s="40"/>
    </row>
    <row r="912" spans="3:7" ht="15.75" customHeight="1" x14ac:dyDescent="0.25">
      <c r="C912" s="40"/>
      <c r="D912" s="41"/>
      <c r="E912" s="41"/>
      <c r="F912" s="40"/>
      <c r="G912" s="40"/>
    </row>
    <row r="913" spans="3:7" ht="15.75" customHeight="1" x14ac:dyDescent="0.25">
      <c r="C913" s="40"/>
      <c r="D913" s="41"/>
      <c r="E913" s="41"/>
      <c r="F913" s="40"/>
      <c r="G913" s="40"/>
    </row>
    <row r="914" spans="3:7" ht="15.75" customHeight="1" x14ac:dyDescent="0.25">
      <c r="C914" s="40"/>
      <c r="D914" s="41"/>
      <c r="E914" s="41"/>
      <c r="F914" s="40"/>
      <c r="G914" s="40"/>
    </row>
    <row r="915" spans="3:7" ht="15.75" customHeight="1" x14ac:dyDescent="0.25">
      <c r="C915" s="40"/>
      <c r="D915" s="41"/>
      <c r="E915" s="41"/>
      <c r="F915" s="40"/>
      <c r="G915" s="40"/>
    </row>
    <row r="916" spans="3:7" ht="15.75" customHeight="1" x14ac:dyDescent="0.25">
      <c r="C916" s="40"/>
      <c r="D916" s="41"/>
      <c r="E916" s="41"/>
      <c r="F916" s="40"/>
      <c r="G916" s="40"/>
    </row>
    <row r="917" spans="3:7" ht="15.75" customHeight="1" x14ac:dyDescent="0.25">
      <c r="C917" s="40"/>
      <c r="D917" s="41"/>
      <c r="E917" s="41"/>
      <c r="F917" s="40"/>
      <c r="G917" s="40"/>
    </row>
    <row r="918" spans="3:7" ht="15.75" customHeight="1" x14ac:dyDescent="0.25">
      <c r="C918" s="40"/>
      <c r="D918" s="41"/>
      <c r="E918" s="41"/>
      <c r="F918" s="40"/>
      <c r="G918" s="40"/>
    </row>
    <row r="919" spans="3:7" ht="15.75" customHeight="1" x14ac:dyDescent="0.25">
      <c r="C919" s="40"/>
      <c r="D919" s="41"/>
      <c r="E919" s="41"/>
      <c r="F919" s="40"/>
      <c r="G919" s="40"/>
    </row>
    <row r="920" spans="3:7" ht="15.75" customHeight="1" x14ac:dyDescent="0.25">
      <c r="C920" s="40"/>
      <c r="D920" s="41"/>
      <c r="E920" s="41"/>
      <c r="F920" s="40"/>
      <c r="G920" s="40"/>
    </row>
    <row r="921" spans="3:7" ht="15.75" customHeight="1" x14ac:dyDescent="0.25">
      <c r="C921" s="40"/>
      <c r="D921" s="41"/>
      <c r="E921" s="41"/>
      <c r="F921" s="40"/>
      <c r="G921" s="40"/>
    </row>
    <row r="922" spans="3:7" ht="15.75" customHeight="1" x14ac:dyDescent="0.25">
      <c r="C922" s="40"/>
      <c r="D922" s="41"/>
      <c r="E922" s="41"/>
      <c r="F922" s="40"/>
      <c r="G922" s="40"/>
    </row>
    <row r="923" spans="3:7" ht="15.75" customHeight="1" x14ac:dyDescent="0.25">
      <c r="C923" s="40"/>
      <c r="D923" s="41"/>
      <c r="E923" s="41"/>
      <c r="F923" s="40"/>
      <c r="G923" s="40"/>
    </row>
    <row r="924" spans="3:7" ht="15.75" customHeight="1" x14ac:dyDescent="0.25">
      <c r="C924" s="40"/>
      <c r="D924" s="41"/>
      <c r="E924" s="41"/>
      <c r="F924" s="40"/>
      <c r="G924" s="40"/>
    </row>
    <row r="925" spans="3:7" ht="15.75" customHeight="1" x14ac:dyDescent="0.25">
      <c r="C925" s="40"/>
      <c r="D925" s="41"/>
      <c r="E925" s="41"/>
      <c r="F925" s="40"/>
      <c r="G925" s="40"/>
    </row>
    <row r="926" spans="3:7" ht="15.75" customHeight="1" x14ac:dyDescent="0.25">
      <c r="C926" s="40"/>
      <c r="D926" s="41"/>
      <c r="E926" s="41"/>
      <c r="F926" s="40"/>
      <c r="G926" s="40"/>
    </row>
    <row r="927" spans="3:7" ht="15.75" customHeight="1" x14ac:dyDescent="0.25">
      <c r="C927" s="40"/>
      <c r="D927" s="41"/>
      <c r="E927" s="41"/>
      <c r="F927" s="40"/>
      <c r="G927" s="40"/>
    </row>
    <row r="928" spans="3:7" ht="15.75" customHeight="1" x14ac:dyDescent="0.25">
      <c r="C928" s="40"/>
      <c r="D928" s="41"/>
      <c r="E928" s="41"/>
      <c r="F928" s="40"/>
      <c r="G928" s="40"/>
    </row>
    <row r="929" spans="3:7" ht="15.75" customHeight="1" x14ac:dyDescent="0.25">
      <c r="C929" s="40"/>
      <c r="D929" s="41"/>
      <c r="E929" s="41"/>
      <c r="F929" s="40"/>
      <c r="G929" s="40"/>
    </row>
    <row r="930" spans="3:7" ht="15.75" customHeight="1" x14ac:dyDescent="0.25">
      <c r="C930" s="40"/>
      <c r="D930" s="41"/>
      <c r="E930" s="41"/>
      <c r="F930" s="40"/>
      <c r="G930" s="40"/>
    </row>
    <row r="931" spans="3:7" ht="15.75" customHeight="1" x14ac:dyDescent="0.25">
      <c r="C931" s="40"/>
      <c r="D931" s="41"/>
      <c r="E931" s="41"/>
      <c r="F931" s="40"/>
      <c r="G931" s="40"/>
    </row>
    <row r="932" spans="3:7" ht="15.75" customHeight="1" x14ac:dyDescent="0.25">
      <c r="C932" s="40"/>
      <c r="D932" s="41"/>
      <c r="E932" s="41"/>
      <c r="F932" s="40"/>
      <c r="G932" s="40"/>
    </row>
    <row r="933" spans="3:7" ht="15.75" customHeight="1" x14ac:dyDescent="0.25">
      <c r="C933" s="40"/>
      <c r="D933" s="41"/>
      <c r="E933" s="41"/>
      <c r="F933" s="40"/>
      <c r="G933" s="40"/>
    </row>
    <row r="934" spans="3:7" ht="15.75" customHeight="1" x14ac:dyDescent="0.25">
      <c r="C934" s="40"/>
      <c r="D934" s="41"/>
      <c r="E934" s="41"/>
      <c r="F934" s="40"/>
      <c r="G934" s="40"/>
    </row>
    <row r="935" spans="3:7" ht="15.75" customHeight="1" x14ac:dyDescent="0.25">
      <c r="C935" s="40"/>
      <c r="D935" s="41"/>
      <c r="E935" s="41"/>
      <c r="F935" s="40"/>
      <c r="G935" s="40"/>
    </row>
    <row r="936" spans="3:7" ht="15.75" customHeight="1" x14ac:dyDescent="0.25">
      <c r="C936" s="40"/>
      <c r="D936" s="41"/>
      <c r="E936" s="41"/>
      <c r="F936" s="40"/>
      <c r="G936" s="40"/>
    </row>
    <row r="937" spans="3:7" ht="15.75" customHeight="1" x14ac:dyDescent="0.25">
      <c r="C937" s="40"/>
      <c r="D937" s="41"/>
      <c r="E937" s="41"/>
      <c r="F937" s="40"/>
      <c r="G937" s="40"/>
    </row>
    <row r="938" spans="3:7" ht="15.75" customHeight="1" x14ac:dyDescent="0.25">
      <c r="C938" s="40"/>
      <c r="D938" s="41"/>
      <c r="E938" s="41"/>
      <c r="F938" s="40"/>
      <c r="G938" s="40"/>
    </row>
    <row r="939" spans="3:7" ht="15.75" customHeight="1" x14ac:dyDescent="0.25">
      <c r="C939" s="40"/>
      <c r="D939" s="41"/>
      <c r="E939" s="41"/>
      <c r="F939" s="40"/>
      <c r="G939" s="40"/>
    </row>
    <row r="940" spans="3:7" ht="15.75" customHeight="1" x14ac:dyDescent="0.25">
      <c r="C940" s="40"/>
      <c r="D940" s="41"/>
      <c r="E940" s="41"/>
      <c r="F940" s="40"/>
      <c r="G940" s="40"/>
    </row>
    <row r="941" spans="3:7" ht="15.75" customHeight="1" x14ac:dyDescent="0.25">
      <c r="C941" s="40"/>
      <c r="D941" s="41"/>
      <c r="E941" s="41"/>
      <c r="F941" s="40"/>
      <c r="G941" s="40"/>
    </row>
    <row r="942" spans="3:7" ht="15.75" customHeight="1" x14ac:dyDescent="0.25">
      <c r="C942" s="40"/>
      <c r="D942" s="41"/>
      <c r="E942" s="41"/>
      <c r="F942" s="40"/>
      <c r="G942" s="40"/>
    </row>
    <row r="943" spans="3:7" ht="15.75" customHeight="1" x14ac:dyDescent="0.25">
      <c r="C943" s="40"/>
      <c r="D943" s="41"/>
      <c r="E943" s="41"/>
      <c r="F943" s="40"/>
      <c r="G943" s="40"/>
    </row>
    <row r="944" spans="3:7" ht="15.75" customHeight="1" x14ac:dyDescent="0.25">
      <c r="C944" s="40"/>
      <c r="D944" s="41"/>
      <c r="E944" s="41"/>
      <c r="F944" s="40"/>
      <c r="G944" s="40"/>
    </row>
    <row r="945" spans="3:7" ht="15.75" customHeight="1" x14ac:dyDescent="0.25">
      <c r="C945" s="40"/>
      <c r="D945" s="41"/>
      <c r="E945" s="41"/>
      <c r="F945" s="40"/>
      <c r="G945" s="40"/>
    </row>
    <row r="946" spans="3:7" ht="15.75" customHeight="1" x14ac:dyDescent="0.25">
      <c r="C946" s="40"/>
      <c r="D946" s="41"/>
      <c r="E946" s="41"/>
      <c r="F946" s="40"/>
      <c r="G946" s="40"/>
    </row>
    <row r="947" spans="3:7" ht="15.75" customHeight="1" x14ac:dyDescent="0.25">
      <c r="C947" s="40"/>
      <c r="D947" s="41"/>
      <c r="E947" s="41"/>
      <c r="F947" s="40"/>
      <c r="G947" s="40"/>
    </row>
    <row r="948" spans="3:7" ht="15.75" customHeight="1" x14ac:dyDescent="0.25">
      <c r="C948" s="40"/>
      <c r="D948" s="41"/>
      <c r="E948" s="41"/>
      <c r="F948" s="40"/>
      <c r="G948" s="40"/>
    </row>
    <row r="949" spans="3:7" ht="15.75" customHeight="1" x14ac:dyDescent="0.25">
      <c r="C949" s="40"/>
      <c r="D949" s="41"/>
      <c r="E949" s="41"/>
      <c r="F949" s="40"/>
      <c r="G949" s="40"/>
    </row>
    <row r="950" spans="3:7" ht="15.75" customHeight="1" x14ac:dyDescent="0.25">
      <c r="C950" s="40"/>
      <c r="D950" s="41"/>
      <c r="E950" s="41"/>
      <c r="F950" s="40"/>
      <c r="G950" s="40"/>
    </row>
    <row r="951" spans="3:7" ht="15.75" customHeight="1" x14ac:dyDescent="0.25">
      <c r="C951" s="40"/>
      <c r="D951" s="41"/>
      <c r="E951" s="41"/>
      <c r="F951" s="40"/>
      <c r="G951" s="40"/>
    </row>
    <row r="952" spans="3:7" ht="15.75" customHeight="1" x14ac:dyDescent="0.25">
      <c r="C952" s="40"/>
      <c r="D952" s="41"/>
      <c r="E952" s="41"/>
      <c r="F952" s="40"/>
      <c r="G952" s="40"/>
    </row>
    <row r="953" spans="3:7" ht="15.75" customHeight="1" x14ac:dyDescent="0.25">
      <c r="C953" s="40"/>
      <c r="D953" s="41"/>
      <c r="E953" s="41"/>
      <c r="F953" s="40"/>
      <c r="G953" s="40"/>
    </row>
    <row r="954" spans="3:7" ht="15.75" customHeight="1" x14ac:dyDescent="0.25">
      <c r="C954" s="40"/>
      <c r="D954" s="41"/>
      <c r="E954" s="41"/>
      <c r="F954" s="40"/>
      <c r="G954" s="40"/>
    </row>
    <row r="955" spans="3:7" ht="15.75" customHeight="1" x14ac:dyDescent="0.25">
      <c r="C955" s="40"/>
      <c r="D955" s="41"/>
      <c r="E955" s="41"/>
      <c r="F955" s="40"/>
      <c r="G955" s="40"/>
    </row>
    <row r="956" spans="3:7" ht="15.75" customHeight="1" x14ac:dyDescent="0.25">
      <c r="C956" s="40"/>
      <c r="D956" s="41"/>
      <c r="E956" s="41"/>
      <c r="F956" s="40"/>
      <c r="G956" s="40"/>
    </row>
    <row r="957" spans="3:7" ht="15.75" customHeight="1" x14ac:dyDescent="0.25">
      <c r="C957" s="40"/>
      <c r="D957" s="41"/>
      <c r="E957" s="41"/>
      <c r="F957" s="40"/>
      <c r="G957" s="40"/>
    </row>
    <row r="958" spans="3:7" ht="15.75" customHeight="1" x14ac:dyDescent="0.25">
      <c r="C958" s="40"/>
      <c r="D958" s="41"/>
      <c r="E958" s="41"/>
      <c r="F958" s="40"/>
      <c r="G958" s="40"/>
    </row>
    <row r="959" spans="3:7" ht="15.75" customHeight="1" x14ac:dyDescent="0.25">
      <c r="C959" s="40"/>
      <c r="D959" s="41"/>
      <c r="E959" s="41"/>
      <c r="F959" s="40"/>
      <c r="G959" s="40"/>
    </row>
    <row r="960" spans="3:7" ht="15.75" customHeight="1" x14ac:dyDescent="0.25">
      <c r="C960" s="40"/>
      <c r="D960" s="41"/>
      <c r="E960" s="41"/>
      <c r="F960" s="40"/>
      <c r="G960" s="40"/>
    </row>
    <row r="961" spans="3:7" ht="15.75" customHeight="1" x14ac:dyDescent="0.25">
      <c r="C961" s="40"/>
      <c r="D961" s="41"/>
      <c r="E961" s="41"/>
      <c r="F961" s="40"/>
      <c r="G961" s="40"/>
    </row>
    <row r="962" spans="3:7" ht="15.75" customHeight="1" x14ac:dyDescent="0.25">
      <c r="C962" s="40"/>
      <c r="D962" s="41"/>
      <c r="E962" s="41"/>
      <c r="F962" s="40"/>
      <c r="G962" s="40"/>
    </row>
    <row r="963" spans="3:7" ht="15.75" customHeight="1" x14ac:dyDescent="0.25">
      <c r="C963" s="40"/>
      <c r="D963" s="41"/>
      <c r="E963" s="41"/>
      <c r="F963" s="40"/>
      <c r="G963" s="40"/>
    </row>
    <row r="964" spans="3:7" ht="15.75" customHeight="1" x14ac:dyDescent="0.25">
      <c r="C964" s="40"/>
      <c r="D964" s="41"/>
      <c r="E964" s="41"/>
      <c r="F964" s="40"/>
      <c r="G964" s="40"/>
    </row>
    <row r="965" spans="3:7" ht="15.75" customHeight="1" x14ac:dyDescent="0.25">
      <c r="C965" s="40"/>
      <c r="D965" s="41"/>
      <c r="E965" s="41"/>
      <c r="F965" s="40"/>
      <c r="G965" s="40"/>
    </row>
    <row r="966" spans="3:7" ht="15.75" customHeight="1" x14ac:dyDescent="0.25">
      <c r="C966" s="40"/>
      <c r="D966" s="41"/>
      <c r="E966" s="41"/>
      <c r="F966" s="40"/>
      <c r="G966" s="40"/>
    </row>
    <row r="967" spans="3:7" ht="15.75" customHeight="1" x14ac:dyDescent="0.25">
      <c r="C967" s="40"/>
      <c r="D967" s="41"/>
      <c r="E967" s="41"/>
      <c r="F967" s="40"/>
      <c r="G967" s="40"/>
    </row>
    <row r="968" spans="3:7" ht="15.75" customHeight="1" x14ac:dyDescent="0.25">
      <c r="C968" s="40"/>
      <c r="D968" s="41"/>
      <c r="E968" s="41"/>
      <c r="F968" s="40"/>
      <c r="G968" s="40"/>
    </row>
    <row r="969" spans="3:7" ht="15.75" customHeight="1" x14ac:dyDescent="0.25">
      <c r="C969" s="40"/>
      <c r="D969" s="41"/>
      <c r="E969" s="41"/>
      <c r="F969" s="40"/>
      <c r="G969" s="40"/>
    </row>
    <row r="970" spans="3:7" ht="15.75" customHeight="1" x14ac:dyDescent="0.25">
      <c r="C970" s="40"/>
      <c r="D970" s="41"/>
      <c r="E970" s="41"/>
      <c r="F970" s="40"/>
      <c r="G970" s="40"/>
    </row>
    <row r="971" spans="3:7" ht="15.75" customHeight="1" x14ac:dyDescent="0.25">
      <c r="C971" s="40"/>
      <c r="D971" s="41"/>
      <c r="E971" s="41"/>
      <c r="F971" s="40"/>
      <c r="G971" s="40"/>
    </row>
    <row r="972" spans="3:7" ht="15.75" customHeight="1" x14ac:dyDescent="0.25">
      <c r="C972" s="40"/>
      <c r="D972" s="41"/>
      <c r="E972" s="41"/>
      <c r="F972" s="40"/>
      <c r="G972" s="40"/>
    </row>
    <row r="973" spans="3:7" ht="15.75" customHeight="1" x14ac:dyDescent="0.25">
      <c r="C973" s="40"/>
      <c r="D973" s="41"/>
      <c r="E973" s="41"/>
      <c r="F973" s="40"/>
      <c r="G973" s="40"/>
    </row>
    <row r="974" spans="3:7" ht="15.75" customHeight="1" x14ac:dyDescent="0.25">
      <c r="C974" s="40"/>
      <c r="D974" s="41"/>
      <c r="E974" s="41"/>
      <c r="F974" s="40"/>
      <c r="G974" s="40"/>
    </row>
    <row r="975" spans="3:7" ht="15.75" customHeight="1" x14ac:dyDescent="0.25">
      <c r="C975" s="40"/>
      <c r="D975" s="41"/>
      <c r="E975" s="41"/>
      <c r="F975" s="40"/>
      <c r="G975" s="40"/>
    </row>
    <row r="976" spans="3:7" ht="15.75" customHeight="1" x14ac:dyDescent="0.25">
      <c r="C976" s="40"/>
      <c r="D976" s="41"/>
      <c r="E976" s="41"/>
      <c r="F976" s="40"/>
      <c r="G976" s="40"/>
    </row>
    <row r="977" spans="3:7" ht="15.75" customHeight="1" x14ac:dyDescent="0.25">
      <c r="C977" s="40"/>
      <c r="D977" s="41"/>
      <c r="E977" s="41"/>
      <c r="F977" s="40"/>
      <c r="G977" s="40"/>
    </row>
    <row r="978" spans="3:7" ht="15.75" customHeight="1" x14ac:dyDescent="0.25">
      <c r="C978" s="40"/>
      <c r="D978" s="41"/>
      <c r="E978" s="41"/>
      <c r="F978" s="40"/>
      <c r="G978" s="40"/>
    </row>
    <row r="979" spans="3:7" ht="15.75" customHeight="1" x14ac:dyDescent="0.25">
      <c r="C979" s="40"/>
      <c r="D979" s="41"/>
      <c r="E979" s="41"/>
      <c r="F979" s="40"/>
      <c r="G979" s="40"/>
    </row>
    <row r="980" spans="3:7" ht="15.75" customHeight="1" x14ac:dyDescent="0.25">
      <c r="C980" s="40"/>
      <c r="D980" s="41"/>
      <c r="E980" s="41"/>
      <c r="F980" s="40"/>
      <c r="G980" s="40"/>
    </row>
    <row r="981" spans="3:7" ht="15.75" customHeight="1" x14ac:dyDescent="0.25">
      <c r="C981" s="40"/>
      <c r="D981" s="41"/>
      <c r="E981" s="41"/>
      <c r="F981" s="40"/>
      <c r="G981" s="40"/>
    </row>
    <row r="982" spans="3:7" ht="15.75" customHeight="1" x14ac:dyDescent="0.25">
      <c r="C982" s="40"/>
      <c r="D982" s="41"/>
      <c r="E982" s="41"/>
      <c r="F982" s="40"/>
      <c r="G982" s="40"/>
    </row>
    <row r="983" spans="3:7" ht="15.75" customHeight="1" x14ac:dyDescent="0.25">
      <c r="C983" s="40"/>
      <c r="D983" s="41"/>
      <c r="E983" s="41"/>
      <c r="F983" s="40"/>
      <c r="G983" s="40"/>
    </row>
    <row r="984" spans="3:7" ht="15.75" customHeight="1" x14ac:dyDescent="0.25">
      <c r="C984" s="40"/>
      <c r="D984" s="41"/>
      <c r="E984" s="41"/>
      <c r="F984" s="40"/>
      <c r="G984" s="40"/>
    </row>
    <row r="985" spans="3:7" ht="15.75" customHeight="1" x14ac:dyDescent="0.25">
      <c r="C985" s="40"/>
      <c r="D985" s="41"/>
      <c r="E985" s="41"/>
      <c r="F985" s="40"/>
      <c r="G985" s="40"/>
    </row>
    <row r="986" spans="3:7" ht="15.75" customHeight="1" x14ac:dyDescent="0.25">
      <c r="C986" s="40"/>
      <c r="D986" s="41"/>
      <c r="E986" s="41"/>
      <c r="F986" s="40"/>
      <c r="G986" s="40"/>
    </row>
  </sheetData>
  <autoFilter ref="C1:G76" xr:uid="{00000000-0009-0000-0000-000003000000}"/>
  <phoneticPr fontId="28" type="noConversion"/>
  <pageMargins left="0.7" right="0.7" top="0.75" bottom="0.75" header="0" footer="0"/>
  <pageSetup paperSize="9" scale="4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D33BBD-1931-4A93-A850-DE3DA912A189}">
          <x14:formula1>
            <xm:f>Параметры!$A$2:$A$41</xm:f>
          </x14:formula1>
          <xm:sqref>B2:B76</xm:sqref>
        </x14:dataValidation>
        <x14:dataValidation type="list" allowBlank="1" showInputMessage="1" showErrorMessage="1" xr:uid="{BEEF43F7-12A1-4189-943D-6F0E46B4A1C0}">
          <x14:formula1>
            <xm:f>Параметры!$S$2:$S$101</xm:f>
          </x14:formula1>
          <xm:sqref>A2:A76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E66E-65C9-483B-ADDD-39B56EF295F6}">
  <sheetPr codeName="Лист8">
    <tabColor rgb="FF9CC2E5"/>
    <pageSetUpPr fitToPage="1"/>
  </sheetPr>
  <dimension ref="A1:AA1083"/>
  <sheetViews>
    <sheetView topLeftCell="A12" zoomScale="85" zoomScaleNormal="85" workbookViewId="0">
      <selection activeCell="L144" sqref="L144"/>
    </sheetView>
  </sheetViews>
  <sheetFormatPr defaultColWidth="14.42578125" defaultRowHeight="15" customHeight="1" x14ac:dyDescent="0.2"/>
  <cols>
    <col min="1" max="1" width="35.28515625" style="264" bestFit="1" customWidth="1"/>
    <col min="2" max="2" width="17.85546875" style="264" bestFit="1" customWidth="1"/>
    <col min="3" max="3" width="20" style="264" bestFit="1" customWidth="1"/>
    <col min="4" max="4" width="54.42578125" style="264" customWidth="1"/>
    <col min="5" max="6" width="9.5703125" style="264" bestFit="1" customWidth="1"/>
    <col min="7" max="7" width="10.28515625" style="264" bestFit="1" customWidth="1"/>
    <col min="8" max="8" width="45.42578125" style="264" customWidth="1"/>
    <col min="9" max="9" width="28.7109375" style="264" customWidth="1"/>
    <col min="10" max="12" width="9.140625" style="264" bestFit="1" customWidth="1"/>
    <col min="13" max="20" width="8.7109375" style="264" bestFit="1" customWidth="1"/>
    <col min="21" max="21" width="8.7109375" style="264" customWidth="1"/>
    <col min="22" max="22" width="8.7109375" style="264" bestFit="1" customWidth="1"/>
    <col min="23" max="23" width="26" style="264" customWidth="1"/>
    <col min="24" max="24" width="34.5703125" style="264" customWidth="1"/>
    <col min="25" max="27" width="8.7109375" style="264" bestFit="1" customWidth="1"/>
    <col min="28" max="16384" width="14.42578125" style="264"/>
  </cols>
  <sheetData>
    <row r="1" spans="1:24" ht="15.75" thickBot="1" x14ac:dyDescent="0.3">
      <c r="A1" s="40"/>
      <c r="B1" s="40"/>
      <c r="C1" s="40"/>
      <c r="D1" s="40"/>
      <c r="E1" s="41"/>
      <c r="F1" s="41"/>
      <c r="G1" s="40"/>
      <c r="H1" s="265" t="s">
        <v>205</v>
      </c>
      <c r="I1" s="40">
        <f>F119+F120+F136</f>
        <v>0</v>
      </c>
      <c r="J1" s="40"/>
      <c r="K1" s="40"/>
      <c r="L1" s="40"/>
      <c r="W1" s="264" t="s">
        <v>346</v>
      </c>
      <c r="X1" s="264" t="s">
        <v>1011</v>
      </c>
    </row>
    <row r="2" spans="1:24" ht="15.75" thickBot="1" x14ac:dyDescent="0.3">
      <c r="A2" s="40"/>
      <c r="B2" s="40"/>
      <c r="C2" s="197" t="s">
        <v>205</v>
      </c>
      <c r="D2" s="506" t="s">
        <v>1004</v>
      </c>
      <c r="E2" s="41"/>
      <c r="F2" s="41"/>
      <c r="G2" s="40"/>
      <c r="H2" s="266" t="s">
        <v>207</v>
      </c>
      <c r="I2" s="40">
        <f>F20+F103+F104+F106+F107+F110+F114+F116+F140+F143+F145+F149+F162+F163+F165</f>
        <v>0</v>
      </c>
      <c r="J2" s="40"/>
      <c r="K2" s="40"/>
      <c r="L2" s="40"/>
    </row>
    <row r="3" spans="1:24" ht="15" customHeight="1" x14ac:dyDescent="0.25">
      <c r="A3" s="509"/>
      <c r="B3" s="40"/>
      <c r="C3" s="43" t="s">
        <v>207</v>
      </c>
      <c r="D3" s="507"/>
      <c r="E3" s="511"/>
      <c r="F3" s="512"/>
      <c r="G3" s="40"/>
      <c r="H3" s="267" t="s">
        <v>211</v>
      </c>
      <c r="I3" s="40">
        <f>F16+F17</f>
        <v>0</v>
      </c>
      <c r="J3" s="40"/>
      <c r="K3" s="40"/>
      <c r="L3" s="40"/>
      <c r="W3" s="264" t="s">
        <v>74</v>
      </c>
      <c r="X3" s="264" t="s">
        <v>843</v>
      </c>
    </row>
    <row r="4" spans="1:24" ht="15" customHeight="1" x14ac:dyDescent="0.25">
      <c r="A4" s="510"/>
      <c r="B4" s="40"/>
      <c r="C4" s="46" t="s">
        <v>211</v>
      </c>
      <c r="D4" s="507"/>
      <c r="E4" s="513"/>
      <c r="F4" s="512"/>
      <c r="G4" s="40"/>
      <c r="H4" s="268" t="s">
        <v>213</v>
      </c>
      <c r="I4" s="40" t="e">
        <f>#REF!+F115+F126+F134+F142+F151+F153+F154</f>
        <v>#REF!</v>
      </c>
      <c r="J4" s="40"/>
      <c r="K4" s="40"/>
      <c r="L4" s="40"/>
      <c r="W4" s="264" t="s">
        <v>1154</v>
      </c>
      <c r="X4" s="264" t="s">
        <v>485</v>
      </c>
    </row>
    <row r="5" spans="1:24" ht="15.75" customHeight="1" x14ac:dyDescent="0.25">
      <c r="A5" s="514" t="str">
        <f>'[1]Материалы для заказа'!C3</f>
        <v>№275-24СВ Мороз АВ</v>
      </c>
      <c r="B5" s="40"/>
      <c r="C5" s="48" t="s">
        <v>213</v>
      </c>
      <c r="D5" s="507"/>
      <c r="E5" s="515"/>
      <c r="F5" s="512"/>
      <c r="G5" s="40"/>
      <c r="H5" s="269" t="s">
        <v>215</v>
      </c>
      <c r="I5" s="40" t="e">
        <f>#REF!+F15+F18+F21+F108+F113+F117+F118+#REF!+F127+F135+F137+F144+F146+F150+F152+F155+F164+F166</f>
        <v>#REF!</v>
      </c>
      <c r="J5" s="40"/>
      <c r="K5" s="40"/>
      <c r="L5" s="40"/>
      <c r="W5" s="264" t="s">
        <v>1061</v>
      </c>
      <c r="X5" s="264" t="s">
        <v>1026</v>
      </c>
    </row>
    <row r="6" spans="1:24" ht="15.75" thickBot="1" x14ac:dyDescent="0.3">
      <c r="A6" s="508"/>
      <c r="C6" s="199" t="s">
        <v>215</v>
      </c>
      <c r="D6" s="507"/>
      <c r="E6" s="516"/>
      <c r="F6" s="512"/>
      <c r="G6" s="40"/>
      <c r="H6" s="270" t="s">
        <v>220</v>
      </c>
      <c r="I6" s="40">
        <f>F19+F128+F156+F157+F158+F159+F160+F161</f>
        <v>0</v>
      </c>
      <c r="J6" s="40"/>
      <c r="W6" s="264" t="s">
        <v>1070</v>
      </c>
      <c r="X6" s="264" t="s">
        <v>1034</v>
      </c>
    </row>
    <row r="7" spans="1:24" ht="15.75" thickBot="1" x14ac:dyDescent="0.3">
      <c r="A7" s="40"/>
      <c r="C7" s="51" t="s">
        <v>217</v>
      </c>
      <c r="D7" s="508"/>
      <c r="E7" s="41"/>
      <c r="F7" s="41"/>
      <c r="G7" s="40"/>
      <c r="H7" s="271" t="s">
        <v>218</v>
      </c>
      <c r="I7" s="40" t="e">
        <f>#REF!</f>
        <v>#REF!</v>
      </c>
      <c r="J7" s="40"/>
      <c r="K7" s="40"/>
      <c r="L7" s="40"/>
      <c r="W7" s="264" t="s">
        <v>1086</v>
      </c>
      <c r="X7" s="264" t="s">
        <v>662</v>
      </c>
    </row>
    <row r="8" spans="1:24" x14ac:dyDescent="0.25">
      <c r="A8" s="40"/>
      <c r="C8" s="270" t="s">
        <v>220</v>
      </c>
      <c r="D8" s="272" t="s">
        <v>222</v>
      </c>
      <c r="E8" s="41"/>
      <c r="F8" s="41"/>
      <c r="G8" s="40"/>
      <c r="H8" s="273" t="s">
        <v>221</v>
      </c>
      <c r="I8" s="40" t="e">
        <f>#REF!+F129+F130</f>
        <v>#REF!</v>
      </c>
      <c r="J8" s="40"/>
      <c r="K8" s="40"/>
      <c r="L8" s="40"/>
      <c r="W8" s="264" t="s">
        <v>1158</v>
      </c>
      <c r="X8" s="264" t="s">
        <v>1036</v>
      </c>
    </row>
    <row r="9" spans="1:24" x14ac:dyDescent="0.25">
      <c r="A9" s="40"/>
      <c r="B9" s="40"/>
      <c r="C9" s="198" t="s">
        <v>223</v>
      </c>
      <c r="D9" s="40"/>
      <c r="E9" s="41"/>
      <c r="F9" s="41"/>
      <c r="G9" s="40"/>
      <c r="H9" s="274" t="s">
        <v>223</v>
      </c>
      <c r="I9" s="40" t="e">
        <f>#REF!</f>
        <v>#REF!</v>
      </c>
      <c r="J9" s="40"/>
      <c r="K9" s="40"/>
      <c r="L9" s="40"/>
      <c r="W9" s="264" t="s">
        <v>1111</v>
      </c>
      <c r="X9" s="264" t="s">
        <v>874</v>
      </c>
    </row>
    <row r="10" spans="1:24" x14ac:dyDescent="0.25">
      <c r="A10" s="40"/>
      <c r="B10" s="40"/>
      <c r="C10" s="200" t="s">
        <v>218</v>
      </c>
      <c r="D10" s="40"/>
      <c r="E10" s="41"/>
      <c r="F10" s="41"/>
      <c r="G10" s="40"/>
      <c r="H10" s="40"/>
      <c r="I10" s="40"/>
      <c r="J10" s="40"/>
      <c r="K10" s="40"/>
      <c r="L10" s="40"/>
      <c r="X10" s="264" t="s">
        <v>686</v>
      </c>
    </row>
    <row r="11" spans="1:24" x14ac:dyDescent="0.25">
      <c r="A11" s="40"/>
      <c r="B11" s="40"/>
      <c r="C11" s="201" t="s">
        <v>221</v>
      </c>
      <c r="D11" s="40"/>
      <c r="E11" s="41"/>
      <c r="F11" s="41"/>
      <c r="G11" s="40"/>
      <c r="H11" s="40"/>
      <c r="I11" s="40"/>
      <c r="J11" s="40"/>
      <c r="K11" s="40"/>
      <c r="L11" s="40"/>
      <c r="X11" s="264" t="s">
        <v>1153</v>
      </c>
    </row>
    <row r="12" spans="1:24" x14ac:dyDescent="0.25">
      <c r="A12" s="40"/>
      <c r="B12" s="40"/>
      <c r="C12" s="40"/>
      <c r="D12" s="40"/>
      <c r="E12" s="41"/>
      <c r="F12" s="41"/>
      <c r="G12" s="40"/>
      <c r="H12" s="40"/>
      <c r="I12" s="40"/>
      <c r="J12" s="40" t="s">
        <v>1196</v>
      </c>
      <c r="K12" s="40"/>
      <c r="L12" s="40"/>
      <c r="X12" s="264" t="s">
        <v>695</v>
      </c>
    </row>
    <row r="13" spans="1:24" ht="15" customHeight="1" x14ac:dyDescent="0.25">
      <c r="A13" s="40"/>
      <c r="B13" s="40"/>
      <c r="C13" s="40"/>
      <c r="D13" s="40"/>
      <c r="E13" s="41"/>
      <c r="F13" s="41"/>
      <c r="G13" s="40"/>
      <c r="H13" s="40"/>
      <c r="I13" s="40"/>
      <c r="J13" s="40"/>
      <c r="K13" s="40"/>
      <c r="L13" s="40"/>
      <c r="X13" s="264" t="s">
        <v>821</v>
      </c>
    </row>
    <row r="14" spans="1:24" ht="15.75" thickBot="1" x14ac:dyDescent="0.3">
      <c r="A14" s="40" t="s">
        <v>1005</v>
      </c>
      <c r="B14" s="40" t="s">
        <v>225</v>
      </c>
      <c r="C14" s="40" t="s">
        <v>226</v>
      </c>
      <c r="D14" s="40" t="s">
        <v>227</v>
      </c>
      <c r="E14" s="41"/>
      <c r="F14" s="41"/>
      <c r="G14" s="40"/>
      <c r="H14" s="40" t="s">
        <v>230</v>
      </c>
      <c r="I14" s="40" t="s">
        <v>231</v>
      </c>
      <c r="J14" s="40"/>
      <c r="K14" s="40"/>
      <c r="L14" s="40"/>
      <c r="O14" s="275" t="s">
        <v>1006</v>
      </c>
      <c r="P14" s="275" t="s">
        <v>1007</v>
      </c>
      <c r="X14" s="264" t="s">
        <v>574</v>
      </c>
    </row>
    <row r="15" spans="1:24" x14ac:dyDescent="0.25">
      <c r="A15" s="517" t="s">
        <v>346</v>
      </c>
      <c r="B15" s="521" t="s">
        <v>1011</v>
      </c>
      <c r="C15" s="276" t="s">
        <v>215</v>
      </c>
      <c r="D15" s="109" t="s">
        <v>1012</v>
      </c>
      <c r="E15" s="203"/>
      <c r="F15" s="277">
        <v>0</v>
      </c>
      <c r="G15" s="101"/>
      <c r="H15" s="101" t="s">
        <v>1013</v>
      </c>
      <c r="I15" s="119" t="s">
        <v>1014</v>
      </c>
      <c r="J15" s="260"/>
      <c r="K15" s="260"/>
      <c r="L15" s="260"/>
      <c r="M15" s="260"/>
      <c r="N15" s="260"/>
      <c r="O15" s="278"/>
      <c r="P15" s="267"/>
      <c r="X15" s="264" t="s">
        <v>548</v>
      </c>
    </row>
    <row r="16" spans="1:24" x14ac:dyDescent="0.25">
      <c r="A16" s="518"/>
      <c r="B16" s="522"/>
      <c r="C16" s="46" t="s">
        <v>211</v>
      </c>
      <c r="D16" s="75" t="s">
        <v>1015</v>
      </c>
      <c r="E16" s="204"/>
      <c r="F16" s="279">
        <v>0</v>
      </c>
      <c r="G16" s="60"/>
      <c r="H16" s="60" t="s">
        <v>1016</v>
      </c>
      <c r="I16" s="73"/>
      <c r="J16" s="260"/>
      <c r="K16" s="260"/>
      <c r="L16" s="260"/>
      <c r="M16" s="260"/>
      <c r="N16" s="260"/>
      <c r="O16" s="278"/>
      <c r="P16" s="267"/>
      <c r="X16" s="264" t="s">
        <v>671</v>
      </c>
    </row>
    <row r="17" spans="1:24" ht="15" customHeight="1" x14ac:dyDescent="0.25">
      <c r="A17" s="518"/>
      <c r="B17" s="522"/>
      <c r="C17" s="46" t="s">
        <v>211</v>
      </c>
      <c r="D17" s="60" t="s">
        <v>476</v>
      </c>
      <c r="E17" s="204"/>
      <c r="F17" s="204">
        <v>0</v>
      </c>
      <c r="G17" s="60"/>
      <c r="H17" s="60" t="s">
        <v>1017</v>
      </c>
      <c r="I17" s="73"/>
      <c r="J17" s="260"/>
      <c r="K17" s="260"/>
      <c r="L17" s="260"/>
      <c r="M17" s="260"/>
      <c r="N17" s="260"/>
      <c r="O17" s="278"/>
      <c r="P17" s="267"/>
      <c r="X17" s="264" t="s">
        <v>1156</v>
      </c>
    </row>
    <row r="18" spans="1:24" x14ac:dyDescent="0.25">
      <c r="A18" s="518"/>
      <c r="B18" s="522"/>
      <c r="C18" s="269" t="s">
        <v>215</v>
      </c>
      <c r="D18" s="280" t="s">
        <v>1010</v>
      </c>
      <c r="E18" s="205"/>
      <c r="F18" s="205">
        <v>0</v>
      </c>
      <c r="G18" s="60"/>
      <c r="H18" s="60" t="s">
        <v>1018</v>
      </c>
      <c r="I18" s="73"/>
      <c r="J18" s="260"/>
      <c r="K18" s="260"/>
      <c r="L18" s="260"/>
      <c r="M18" s="260"/>
      <c r="N18" s="260"/>
      <c r="O18" s="278"/>
      <c r="P18" s="267"/>
      <c r="X18" s="264" t="s">
        <v>833</v>
      </c>
    </row>
    <row r="19" spans="1:24" ht="15.75" thickBot="1" x14ac:dyDescent="0.3">
      <c r="A19" s="518"/>
      <c r="B19" s="522"/>
      <c r="C19" s="191" t="s">
        <v>220</v>
      </c>
      <c r="D19" s="75" t="s">
        <v>1019</v>
      </c>
      <c r="E19" s="206"/>
      <c r="F19" s="206">
        <v>0</v>
      </c>
      <c r="G19" s="60"/>
      <c r="H19" s="60" t="s">
        <v>1020</v>
      </c>
      <c r="I19" s="73"/>
      <c r="J19" s="260"/>
      <c r="K19" s="260"/>
      <c r="L19" s="260"/>
      <c r="M19" s="260"/>
      <c r="N19" s="260"/>
      <c r="O19" s="278"/>
      <c r="P19" s="267"/>
      <c r="X19" s="264" t="s">
        <v>655</v>
      </c>
    </row>
    <row r="20" spans="1:24" x14ac:dyDescent="0.25">
      <c r="A20" s="518"/>
      <c r="B20" s="521" t="s">
        <v>843</v>
      </c>
      <c r="C20" s="281" t="s">
        <v>207</v>
      </c>
      <c r="D20" s="282" t="s">
        <v>1021</v>
      </c>
      <c r="E20" s="203">
        <f>'Вспомогательная (Панели)'!D2</f>
        <v>0</v>
      </c>
      <c r="F20" s="277">
        <v>0</v>
      </c>
      <c r="G20" s="101"/>
      <c r="H20" s="101" t="s">
        <v>1022</v>
      </c>
      <c r="I20" s="119"/>
      <c r="J20" s="260"/>
      <c r="K20" s="260"/>
      <c r="L20" s="260"/>
      <c r="M20" s="260"/>
      <c r="N20" s="260"/>
      <c r="O20" s="278">
        <v>6.0750000000000002</v>
      </c>
      <c r="P20" s="267">
        <f>O20*E20</f>
        <v>0</v>
      </c>
      <c r="X20" s="264" t="s">
        <v>784</v>
      </c>
    </row>
    <row r="21" spans="1:24" ht="15.75" thickBot="1" x14ac:dyDescent="0.3">
      <c r="A21" s="518"/>
      <c r="B21" s="523"/>
      <c r="C21" s="283" t="s">
        <v>215</v>
      </c>
      <c r="D21" s="124" t="s">
        <v>1023</v>
      </c>
      <c r="E21" s="284"/>
      <c r="F21" s="284">
        <v>0</v>
      </c>
      <c r="G21" s="285"/>
      <c r="H21" s="285" t="s">
        <v>1024</v>
      </c>
      <c r="I21" s="286"/>
      <c r="J21" s="40"/>
      <c r="K21" s="40"/>
      <c r="L21" s="40"/>
      <c r="O21" s="278"/>
      <c r="P21" s="267"/>
      <c r="X21" s="264" t="s">
        <v>794</v>
      </c>
    </row>
    <row r="22" spans="1:24" ht="15" customHeight="1" x14ac:dyDescent="0.25">
      <c r="A22" s="518"/>
      <c r="B22" s="524" t="s">
        <v>485</v>
      </c>
      <c r="C22" s="281" t="s">
        <v>207</v>
      </c>
      <c r="D22" s="282" t="s">
        <v>1025</v>
      </c>
      <c r="E22" s="277">
        <f>'Вспомогательная (Панели)'!D3</f>
        <v>10</v>
      </c>
      <c r="F22" s="277">
        <v>0</v>
      </c>
      <c r="G22" s="287"/>
      <c r="H22" s="287" t="s">
        <v>485</v>
      </c>
      <c r="I22" s="288"/>
      <c r="J22" s="40"/>
      <c r="K22" s="40"/>
      <c r="L22" s="40"/>
      <c r="O22" s="278"/>
      <c r="P22" s="267"/>
      <c r="X22" s="264" t="s">
        <v>1086</v>
      </c>
    </row>
    <row r="23" spans="1:24" ht="15.75" thickBot="1" x14ac:dyDescent="0.3">
      <c r="A23" s="518"/>
      <c r="B23" s="525"/>
      <c r="C23" s="104" t="s">
        <v>215</v>
      </c>
      <c r="D23" s="89" t="s">
        <v>339</v>
      </c>
      <c r="E23" s="205"/>
      <c r="F23" s="205">
        <v>0</v>
      </c>
      <c r="G23" s="60"/>
      <c r="H23" s="60" t="s">
        <v>487</v>
      </c>
      <c r="I23" s="73" t="s">
        <v>488</v>
      </c>
      <c r="J23" s="40"/>
      <c r="K23" s="40"/>
      <c r="L23" s="40"/>
      <c r="O23" s="278"/>
      <c r="P23" s="267"/>
      <c r="X23" s="264" t="s">
        <v>617</v>
      </c>
    </row>
    <row r="24" spans="1:24" x14ac:dyDescent="0.25">
      <c r="A24" s="519"/>
      <c r="B24" s="526" t="s">
        <v>1026</v>
      </c>
      <c r="C24" s="281" t="s">
        <v>207</v>
      </c>
      <c r="D24" s="282" t="s">
        <v>1027</v>
      </c>
      <c r="E24" s="277">
        <f>'Вспомогательная (Панели)'!D4</f>
        <v>7</v>
      </c>
      <c r="F24" s="277">
        <v>0</v>
      </c>
      <c r="G24" s="287"/>
      <c r="H24" s="101" t="s">
        <v>1028</v>
      </c>
      <c r="I24" s="288"/>
      <c r="J24" s="40"/>
      <c r="K24" s="40"/>
      <c r="L24" s="40"/>
      <c r="O24" s="278"/>
      <c r="P24" s="267"/>
      <c r="X24" s="264" t="s">
        <v>1101</v>
      </c>
    </row>
    <row r="25" spans="1:24" x14ac:dyDescent="0.25">
      <c r="A25" s="519"/>
      <c r="B25" s="527"/>
      <c r="C25" s="266" t="s">
        <v>207</v>
      </c>
      <c r="D25" s="280" t="s">
        <v>1029</v>
      </c>
      <c r="E25" s="279">
        <f>'Вспомогательная (Панели)'!D5</f>
        <v>2</v>
      </c>
      <c r="F25" s="279">
        <v>0</v>
      </c>
      <c r="G25" s="289"/>
      <c r="H25" s="289" t="s">
        <v>1028</v>
      </c>
      <c r="I25" s="290"/>
      <c r="J25" s="40"/>
      <c r="K25" s="40"/>
      <c r="L25" s="40"/>
      <c r="O25" s="278"/>
      <c r="P25" s="267"/>
      <c r="X25" s="264" t="s">
        <v>849</v>
      </c>
    </row>
    <row r="26" spans="1:24" ht="15.75" thickBot="1" x14ac:dyDescent="0.3">
      <c r="A26" s="520"/>
      <c r="B26" s="528"/>
      <c r="C26" s="291" t="s">
        <v>207</v>
      </c>
      <c r="D26" s="292" t="s">
        <v>1030</v>
      </c>
      <c r="E26" s="293">
        <f>'Вспомогательная (Панели)'!D6</f>
        <v>80</v>
      </c>
      <c r="F26" s="293">
        <v>0</v>
      </c>
      <c r="G26" s="285"/>
      <c r="H26" s="285" t="s">
        <v>1028</v>
      </c>
      <c r="I26" s="286"/>
      <c r="J26" s="40"/>
      <c r="K26" s="40"/>
      <c r="L26" s="40"/>
      <c r="O26" s="278"/>
      <c r="P26" s="267"/>
      <c r="X26" s="264" t="s">
        <v>613</v>
      </c>
    </row>
    <row r="27" spans="1:24" ht="15" customHeight="1" x14ac:dyDescent="0.25">
      <c r="A27" s="541" t="s">
        <v>74</v>
      </c>
      <c r="B27" s="544" t="s">
        <v>1034</v>
      </c>
      <c r="C27" s="281" t="s">
        <v>207</v>
      </c>
      <c r="D27" s="282" t="s">
        <v>1035</v>
      </c>
      <c r="E27" s="277">
        <f>'Вспомогательная (Панели)'!D8</f>
        <v>34</v>
      </c>
      <c r="F27" s="277">
        <v>0</v>
      </c>
      <c r="G27" s="282"/>
      <c r="H27" s="282" t="s">
        <v>555</v>
      </c>
      <c r="I27" s="288"/>
      <c r="J27" s="40"/>
      <c r="K27" s="40"/>
      <c r="O27" s="278"/>
      <c r="P27" s="267"/>
      <c r="X27" s="264" t="s">
        <v>998</v>
      </c>
    </row>
    <row r="28" spans="1:24" x14ac:dyDescent="0.25">
      <c r="A28" s="542"/>
      <c r="B28" s="545"/>
      <c r="C28" s="269" t="s">
        <v>215</v>
      </c>
      <c r="D28" s="280" t="s">
        <v>1033</v>
      </c>
      <c r="E28" s="294"/>
      <c r="F28" s="294">
        <v>0</v>
      </c>
      <c r="G28" s="280"/>
      <c r="H28" s="295" t="s">
        <v>558</v>
      </c>
      <c r="I28" s="290"/>
      <c r="J28" s="40"/>
      <c r="K28" s="40"/>
      <c r="O28" s="278"/>
      <c r="P28" s="267"/>
      <c r="X28" s="264" t="s">
        <v>1112</v>
      </c>
    </row>
    <row r="29" spans="1:24" x14ac:dyDescent="0.25">
      <c r="A29" s="542"/>
      <c r="B29" s="545"/>
      <c r="C29" s="296" t="s">
        <v>207</v>
      </c>
      <c r="D29" s="280" t="s">
        <v>1027</v>
      </c>
      <c r="E29" s="279">
        <f>'Вспомогательная (Панели)'!D9</f>
        <v>0</v>
      </c>
      <c r="F29" s="279">
        <v>0</v>
      </c>
      <c r="G29" s="280"/>
      <c r="H29" s="280" t="s">
        <v>555</v>
      </c>
      <c r="I29" s="289"/>
      <c r="J29" s="40"/>
      <c r="K29" s="40"/>
      <c r="O29" s="278"/>
      <c r="P29" s="267"/>
      <c r="X29" s="264" t="s">
        <v>1117</v>
      </c>
    </row>
    <row r="30" spans="1:24" x14ac:dyDescent="0.25">
      <c r="A30" s="542"/>
      <c r="B30" s="545"/>
      <c r="C30" s="269" t="s">
        <v>215</v>
      </c>
      <c r="D30" s="295" t="s">
        <v>339</v>
      </c>
      <c r="E30" s="297"/>
      <c r="F30" s="297">
        <v>0</v>
      </c>
      <c r="G30" s="280"/>
      <c r="H30" s="295" t="s">
        <v>558</v>
      </c>
      <c r="I30" s="289"/>
      <c r="J30" s="40"/>
      <c r="K30" s="40"/>
      <c r="O30" s="278"/>
      <c r="P30" s="267"/>
    </row>
    <row r="31" spans="1:24" x14ac:dyDescent="0.25">
      <c r="A31" s="542"/>
      <c r="B31" s="545"/>
      <c r="C31" s="296" t="s">
        <v>207</v>
      </c>
      <c r="D31" s="295" t="s">
        <v>553</v>
      </c>
      <c r="E31" s="279">
        <f>'Вспомогательная (Панели)'!D10</f>
        <v>0</v>
      </c>
      <c r="F31" s="279">
        <v>0</v>
      </c>
      <c r="G31" s="280"/>
      <c r="H31" s="280" t="s">
        <v>549</v>
      </c>
      <c r="I31" s="290"/>
      <c r="J31" s="40"/>
      <c r="K31" s="40"/>
      <c r="O31" s="278"/>
      <c r="P31" s="267"/>
    </row>
    <row r="32" spans="1:24" ht="15.75" thickBot="1" x14ac:dyDescent="0.3">
      <c r="A32" s="542"/>
      <c r="B32" s="546"/>
      <c r="C32" s="104" t="s">
        <v>215</v>
      </c>
      <c r="D32" s="295" t="s">
        <v>339</v>
      </c>
      <c r="E32" s="205"/>
      <c r="F32" s="205">
        <v>0</v>
      </c>
      <c r="G32" s="75"/>
      <c r="H32" s="280" t="s">
        <v>552</v>
      </c>
      <c r="I32" s="73"/>
      <c r="J32" s="40"/>
      <c r="K32" s="40"/>
      <c r="O32" s="278"/>
      <c r="P32" s="267"/>
    </row>
    <row r="33" spans="1:16" x14ac:dyDescent="0.25">
      <c r="A33" s="542"/>
      <c r="B33" s="526" t="s">
        <v>662</v>
      </c>
      <c r="C33" s="298" t="s">
        <v>213</v>
      </c>
      <c r="D33" s="287" t="s">
        <v>539</v>
      </c>
      <c r="E33" s="277"/>
      <c r="F33" s="277">
        <v>0</v>
      </c>
      <c r="G33" s="282"/>
      <c r="H33" s="282" t="s">
        <v>540</v>
      </c>
      <c r="I33" s="288"/>
      <c r="J33" s="40">
        <v>1</v>
      </c>
      <c r="K33" s="40"/>
      <c r="O33" s="278"/>
      <c r="P33" s="267"/>
    </row>
    <row r="34" spans="1:16" x14ac:dyDescent="0.25">
      <c r="A34" s="542"/>
      <c r="B34" s="527"/>
      <c r="C34" s="269" t="s">
        <v>215</v>
      </c>
      <c r="D34" s="289" t="s">
        <v>504</v>
      </c>
      <c r="E34" s="297"/>
      <c r="F34" s="297">
        <v>0</v>
      </c>
      <c r="G34" s="289"/>
      <c r="H34" s="289" t="s">
        <v>541</v>
      </c>
      <c r="I34" s="290"/>
      <c r="J34" s="40"/>
      <c r="K34" s="40"/>
      <c r="O34" s="278"/>
      <c r="P34" s="267"/>
    </row>
    <row r="35" spans="1:16" ht="15.75" thickBot="1" x14ac:dyDescent="0.3">
      <c r="A35" s="542"/>
      <c r="B35" s="528"/>
      <c r="C35" s="299" t="s">
        <v>213</v>
      </c>
      <c r="D35" s="300" t="s">
        <v>511</v>
      </c>
      <c r="E35" s="293"/>
      <c r="F35" s="293">
        <v>0</v>
      </c>
      <c r="G35" s="292"/>
      <c r="H35" s="292" t="s">
        <v>545</v>
      </c>
      <c r="I35" s="286"/>
      <c r="J35" s="40"/>
      <c r="K35" s="40"/>
      <c r="O35" s="278"/>
      <c r="P35" s="267"/>
    </row>
    <row r="36" spans="1:16" x14ac:dyDescent="0.25">
      <c r="A36" s="542"/>
      <c r="B36" s="547" t="s">
        <v>1036</v>
      </c>
      <c r="C36" s="281" t="s">
        <v>207</v>
      </c>
      <c r="D36" s="157" t="s">
        <v>630</v>
      </c>
      <c r="E36" s="277">
        <f>'Вспомогательная (Панели)'!D11</f>
        <v>0</v>
      </c>
      <c r="F36" s="277">
        <v>0</v>
      </c>
      <c r="G36" s="287"/>
      <c r="H36" s="287" t="s">
        <v>1032</v>
      </c>
      <c r="I36" s="288"/>
      <c r="J36" s="40"/>
      <c r="O36" s="278"/>
      <c r="P36" s="267"/>
    </row>
    <row r="37" spans="1:16" x14ac:dyDescent="0.25">
      <c r="A37" s="542"/>
      <c r="B37" s="530"/>
      <c r="C37" s="104" t="s">
        <v>215</v>
      </c>
      <c r="D37" s="60" t="s">
        <v>1033</v>
      </c>
      <c r="E37" s="205"/>
      <c r="F37" s="205">
        <v>0</v>
      </c>
      <c r="G37" s="60"/>
      <c r="H37" s="60" t="s">
        <v>1037</v>
      </c>
      <c r="I37" s="73"/>
      <c r="J37" s="40"/>
      <c r="O37" s="278"/>
      <c r="P37" s="267"/>
    </row>
    <row r="38" spans="1:16" x14ac:dyDescent="0.25">
      <c r="A38" s="542"/>
      <c r="B38" s="530"/>
      <c r="C38" s="266" t="s">
        <v>207</v>
      </c>
      <c r="D38" s="280" t="s">
        <v>553</v>
      </c>
      <c r="E38" s="279">
        <f>'Вспомогательная (Панели)'!D12</f>
        <v>0</v>
      </c>
      <c r="F38" s="279">
        <v>0</v>
      </c>
      <c r="G38" s="289"/>
      <c r="H38" s="289" t="s">
        <v>1032</v>
      </c>
      <c r="I38" s="289"/>
      <c r="J38" s="40"/>
      <c r="O38" s="278"/>
      <c r="P38" s="267"/>
    </row>
    <row r="39" spans="1:16" x14ac:dyDescent="0.25">
      <c r="A39" s="542"/>
      <c r="B39" s="530"/>
      <c r="C39" s="269" t="s">
        <v>215</v>
      </c>
      <c r="D39" s="295" t="s">
        <v>339</v>
      </c>
      <c r="E39" s="297"/>
      <c r="F39" s="297">
        <v>0</v>
      </c>
      <c r="G39" s="289"/>
      <c r="H39" s="289" t="s">
        <v>1037</v>
      </c>
      <c r="I39" s="289"/>
      <c r="J39" s="40"/>
      <c r="O39" s="278"/>
      <c r="P39" s="267"/>
    </row>
    <row r="40" spans="1:16" x14ac:dyDescent="0.25">
      <c r="A40" s="542"/>
      <c r="B40" s="530"/>
      <c r="C40" s="97" t="s">
        <v>207</v>
      </c>
      <c r="D40" s="86" t="s">
        <v>551</v>
      </c>
      <c r="E40" s="208">
        <f>'Вспомогательная (Панели)'!D13</f>
        <v>0</v>
      </c>
      <c r="F40" s="208">
        <v>0</v>
      </c>
      <c r="G40" s="56"/>
      <c r="H40" s="56" t="s">
        <v>1032</v>
      </c>
      <c r="I40" s="57"/>
      <c r="J40" s="40"/>
      <c r="O40" s="278"/>
      <c r="P40" s="267"/>
    </row>
    <row r="41" spans="1:16" ht="15.75" thickBot="1" x14ac:dyDescent="0.3">
      <c r="A41" s="542"/>
      <c r="B41" s="531"/>
      <c r="C41" s="283" t="s">
        <v>215</v>
      </c>
      <c r="D41" s="300" t="s">
        <v>339</v>
      </c>
      <c r="E41" s="284"/>
      <c r="F41" s="284">
        <v>0</v>
      </c>
      <c r="G41" s="285"/>
      <c r="H41" s="285" t="s">
        <v>1037</v>
      </c>
      <c r="I41" s="286"/>
      <c r="J41" s="40"/>
      <c r="O41" s="278"/>
      <c r="P41" s="267"/>
    </row>
    <row r="42" spans="1:16" x14ac:dyDescent="0.25">
      <c r="A42" s="542"/>
      <c r="B42" s="529" t="s">
        <v>874</v>
      </c>
      <c r="C42" s="298" t="s">
        <v>213</v>
      </c>
      <c r="D42" s="287" t="s">
        <v>1038</v>
      </c>
      <c r="E42" s="277"/>
      <c r="F42" s="277">
        <v>0</v>
      </c>
      <c r="G42" s="287"/>
      <c r="H42" s="287" t="s">
        <v>880</v>
      </c>
      <c r="I42" s="288"/>
      <c r="J42" s="40">
        <v>1</v>
      </c>
      <c r="O42" s="278"/>
      <c r="P42" s="267"/>
    </row>
    <row r="43" spans="1:16" x14ac:dyDescent="0.25">
      <c r="A43" s="542"/>
      <c r="B43" s="533"/>
      <c r="C43" s="268" t="s">
        <v>213</v>
      </c>
      <c r="D43" s="295" t="s">
        <v>506</v>
      </c>
      <c r="E43" s="279"/>
      <c r="F43" s="279">
        <v>0</v>
      </c>
      <c r="G43" s="289"/>
      <c r="H43" s="289" t="s">
        <v>886</v>
      </c>
      <c r="I43" s="290"/>
      <c r="J43" s="40"/>
      <c r="O43" s="278"/>
      <c r="P43" s="267"/>
    </row>
    <row r="44" spans="1:16" ht="15.75" thickBot="1" x14ac:dyDescent="0.3">
      <c r="A44" s="542"/>
      <c r="B44" s="532"/>
      <c r="C44" s="283" t="s">
        <v>215</v>
      </c>
      <c r="D44" s="285" t="s">
        <v>1039</v>
      </c>
      <c r="E44" s="284"/>
      <c r="F44" s="284">
        <v>0</v>
      </c>
      <c r="G44" s="126"/>
      <c r="H44" s="285" t="s">
        <v>887</v>
      </c>
      <c r="I44" s="286"/>
      <c r="J44" s="40"/>
      <c r="O44" s="278"/>
      <c r="P44" s="267"/>
    </row>
    <row r="45" spans="1:16" x14ac:dyDescent="0.25">
      <c r="A45" s="542"/>
      <c r="B45" s="529" t="s">
        <v>686</v>
      </c>
      <c r="C45" s="129" t="s">
        <v>207</v>
      </c>
      <c r="D45" s="109" t="s">
        <v>672</v>
      </c>
      <c r="E45" s="203">
        <f>'Вспомогательная (Панели)'!D14</f>
        <v>0</v>
      </c>
      <c r="F45" s="203">
        <v>0</v>
      </c>
      <c r="G45" s="101"/>
      <c r="H45" s="101" t="s">
        <v>687</v>
      </c>
      <c r="I45" s="121"/>
      <c r="J45" s="40"/>
      <c r="O45" s="278"/>
      <c r="P45" s="267"/>
    </row>
    <row r="46" spans="1:16" x14ac:dyDescent="0.25">
      <c r="A46" s="542"/>
      <c r="B46" s="530"/>
      <c r="C46" s="266" t="s">
        <v>207</v>
      </c>
      <c r="D46" s="280" t="s">
        <v>688</v>
      </c>
      <c r="E46" s="279">
        <f>'Вспомогательная (Панели)'!D22</f>
        <v>0</v>
      </c>
      <c r="F46" s="279">
        <v>0</v>
      </c>
      <c r="G46" s="289"/>
      <c r="H46" s="289" t="s">
        <v>687</v>
      </c>
      <c r="I46" s="290"/>
      <c r="J46" s="40"/>
      <c r="O46" s="278"/>
      <c r="P46" s="267"/>
    </row>
    <row r="47" spans="1:16" x14ac:dyDescent="0.25">
      <c r="A47" s="542"/>
      <c r="B47" s="530"/>
      <c r="C47" s="166" t="s">
        <v>207</v>
      </c>
      <c r="D47" s="75" t="s">
        <v>691</v>
      </c>
      <c r="E47" s="204">
        <f>'Вспомогательная (Панели)'!D23</f>
        <v>0</v>
      </c>
      <c r="F47" s="204">
        <v>0</v>
      </c>
      <c r="G47" s="60"/>
      <c r="H47" s="60" t="s">
        <v>687</v>
      </c>
      <c r="I47" s="290"/>
      <c r="J47" s="40"/>
      <c r="O47" s="278"/>
      <c r="P47" s="267"/>
    </row>
    <row r="48" spans="1:16" ht="15.75" thickBot="1" x14ac:dyDescent="0.3">
      <c r="A48" s="542"/>
      <c r="B48" s="531"/>
      <c r="C48" s="301" t="s">
        <v>421</v>
      </c>
      <c r="D48" s="300" t="s">
        <v>583</v>
      </c>
      <c r="E48" s="284"/>
      <c r="F48" s="284">
        <v>0</v>
      </c>
      <c r="G48" s="285"/>
      <c r="H48" s="285" t="s">
        <v>694</v>
      </c>
      <c r="I48" s="286"/>
      <c r="J48" s="40"/>
      <c r="O48" s="278"/>
      <c r="P48" s="267"/>
    </row>
    <row r="49" spans="1:16" x14ac:dyDescent="0.25">
      <c r="A49" s="542"/>
      <c r="B49" s="529" t="s">
        <v>1153</v>
      </c>
      <c r="C49" s="129" t="s">
        <v>207</v>
      </c>
      <c r="D49" s="109" t="s">
        <v>672</v>
      </c>
      <c r="E49" s="203">
        <f>'Вспомогательная (Панели)'!D15</f>
        <v>0</v>
      </c>
      <c r="F49" s="203">
        <v>0</v>
      </c>
      <c r="G49" s="101"/>
      <c r="H49" s="101" t="s">
        <v>670</v>
      </c>
      <c r="I49" s="288"/>
      <c r="J49" s="40"/>
      <c r="O49" s="278"/>
      <c r="P49" s="267"/>
    </row>
    <row r="50" spans="1:16" x14ac:dyDescent="0.25">
      <c r="A50" s="542"/>
      <c r="B50" s="530"/>
      <c r="C50" s="266" t="s">
        <v>207</v>
      </c>
      <c r="D50" s="280" t="s">
        <v>672</v>
      </c>
      <c r="E50" s="279">
        <f>'Вспомогательная (Панели)'!D21</f>
        <v>0</v>
      </c>
      <c r="F50" s="279">
        <v>0</v>
      </c>
      <c r="G50" s="289"/>
      <c r="H50" s="289" t="s">
        <v>670</v>
      </c>
      <c r="I50" s="57"/>
      <c r="O50" s="278"/>
      <c r="P50" s="267"/>
    </row>
    <row r="51" spans="1:16" x14ac:dyDescent="0.25">
      <c r="A51" s="542"/>
      <c r="B51" s="530"/>
      <c r="C51" s="266" t="s">
        <v>207</v>
      </c>
      <c r="D51" s="280" t="s">
        <v>673</v>
      </c>
      <c r="E51" s="279">
        <f>'Вспомогательная (Панели)'!D16</f>
        <v>0</v>
      </c>
      <c r="F51" s="279">
        <v>0</v>
      </c>
      <c r="G51" s="289"/>
      <c r="H51" s="289" t="s">
        <v>670</v>
      </c>
      <c r="I51" s="57"/>
      <c r="O51" s="278"/>
      <c r="P51" s="267"/>
    </row>
    <row r="52" spans="1:16" x14ac:dyDescent="0.25">
      <c r="A52" s="542"/>
      <c r="B52" s="530"/>
      <c r="C52" s="110" t="s">
        <v>421</v>
      </c>
      <c r="D52" s="280" t="s">
        <v>674</v>
      </c>
      <c r="E52" s="297"/>
      <c r="F52" s="297">
        <v>0</v>
      </c>
      <c r="G52" s="56"/>
      <c r="H52" s="56" t="s">
        <v>675</v>
      </c>
      <c r="I52" s="57"/>
      <c r="O52" s="278"/>
      <c r="P52" s="267"/>
    </row>
    <row r="53" spans="1:16" ht="15.75" thickBot="1" x14ac:dyDescent="0.3">
      <c r="A53" s="542"/>
      <c r="B53" s="532"/>
      <c r="C53" s="301" t="s">
        <v>421</v>
      </c>
      <c r="D53" s="300" t="s">
        <v>583</v>
      </c>
      <c r="E53" s="284"/>
      <c r="F53" s="284">
        <v>0</v>
      </c>
      <c r="G53" s="285"/>
      <c r="H53" s="285" t="s">
        <v>676</v>
      </c>
      <c r="I53" s="286"/>
      <c r="O53" s="278"/>
      <c r="P53" s="267"/>
    </row>
    <row r="54" spans="1:16" x14ac:dyDescent="0.25">
      <c r="A54" s="542"/>
      <c r="B54" s="530" t="s">
        <v>695</v>
      </c>
      <c r="C54" s="174" t="s">
        <v>314</v>
      </c>
      <c r="D54" s="86" t="s">
        <v>696</v>
      </c>
      <c r="E54" s="208"/>
      <c r="F54" s="208">
        <v>0</v>
      </c>
      <c r="G54" s="86"/>
      <c r="H54" s="86" t="s">
        <v>697</v>
      </c>
      <c r="I54" s="57" t="s">
        <v>698</v>
      </c>
      <c r="J54" s="264">
        <v>1</v>
      </c>
      <c r="O54" s="278"/>
      <c r="P54" s="267"/>
    </row>
    <row r="55" spans="1:16" ht="15.75" thickBot="1" x14ac:dyDescent="0.3">
      <c r="A55" s="542"/>
      <c r="B55" s="532"/>
      <c r="C55" s="283" t="s">
        <v>215</v>
      </c>
      <c r="D55" s="292" t="s">
        <v>504</v>
      </c>
      <c r="E55" s="284"/>
      <c r="F55" s="284">
        <v>0</v>
      </c>
      <c r="G55" s="285"/>
      <c r="H55" s="285" t="s">
        <v>699</v>
      </c>
      <c r="I55" s="286"/>
      <c r="O55" s="278"/>
      <c r="P55" s="267"/>
    </row>
    <row r="56" spans="1:16" x14ac:dyDescent="0.25">
      <c r="A56" s="542"/>
      <c r="B56" s="529" t="s">
        <v>821</v>
      </c>
      <c r="C56" s="302" t="s">
        <v>290</v>
      </c>
      <c r="D56" s="303" t="s">
        <v>524</v>
      </c>
      <c r="E56" s="277"/>
      <c r="F56" s="277">
        <v>0</v>
      </c>
      <c r="G56" s="287"/>
      <c r="H56" s="287" t="s">
        <v>889</v>
      </c>
      <c r="I56" s="288" t="s">
        <v>823</v>
      </c>
      <c r="O56" s="278"/>
      <c r="P56" s="267"/>
    </row>
    <row r="57" spans="1:16" x14ac:dyDescent="0.25">
      <c r="A57" s="542"/>
      <c r="B57" s="533"/>
      <c r="C57" s="132" t="s">
        <v>290</v>
      </c>
      <c r="D57" s="304" t="s">
        <v>526</v>
      </c>
      <c r="E57" s="279"/>
      <c r="F57" s="279">
        <v>0</v>
      </c>
      <c r="G57" s="289"/>
      <c r="H57" s="289" t="s">
        <v>889</v>
      </c>
      <c r="I57" s="290" t="s">
        <v>527</v>
      </c>
      <c r="O57" s="278"/>
      <c r="P57" s="267"/>
    </row>
    <row r="58" spans="1:16" x14ac:dyDescent="0.25">
      <c r="A58" s="542"/>
      <c r="B58" s="533"/>
      <c r="C58" s="132" t="s">
        <v>290</v>
      </c>
      <c r="D58" s="304" t="s">
        <v>528</v>
      </c>
      <c r="E58" s="279"/>
      <c r="F58" s="279">
        <v>0</v>
      </c>
      <c r="G58" s="289"/>
      <c r="H58" s="289" t="s">
        <v>889</v>
      </c>
      <c r="I58" s="290"/>
      <c r="O58" s="278"/>
      <c r="P58" s="267"/>
    </row>
    <row r="59" spans="1:16" x14ac:dyDescent="0.25">
      <c r="A59" s="542"/>
      <c r="B59" s="533"/>
      <c r="C59" s="132" t="s">
        <v>290</v>
      </c>
      <c r="D59" s="304" t="s">
        <v>529</v>
      </c>
      <c r="E59" s="279"/>
      <c r="F59" s="279">
        <v>0</v>
      </c>
      <c r="G59" s="289"/>
      <c r="H59" s="289" t="s">
        <v>889</v>
      </c>
      <c r="I59" s="290"/>
      <c r="O59" s="278"/>
      <c r="P59" s="267"/>
    </row>
    <row r="60" spans="1:16" x14ac:dyDescent="0.25">
      <c r="A60" s="542"/>
      <c r="B60" s="533"/>
      <c r="C60" s="132" t="s">
        <v>290</v>
      </c>
      <c r="D60" s="305" t="s">
        <v>530</v>
      </c>
      <c r="E60" s="279"/>
      <c r="F60" s="279">
        <v>0</v>
      </c>
      <c r="G60" s="289"/>
      <c r="H60" s="289" t="s">
        <v>889</v>
      </c>
      <c r="I60" s="290"/>
      <c r="O60" s="278"/>
      <c r="P60" s="267"/>
    </row>
    <row r="61" spans="1:16" x14ac:dyDescent="0.25">
      <c r="A61" s="542"/>
      <c r="B61" s="533"/>
      <c r="C61" s="186" t="s">
        <v>290</v>
      </c>
      <c r="D61" s="187" t="s">
        <v>531</v>
      </c>
      <c r="E61" s="204"/>
      <c r="F61" s="204">
        <v>0</v>
      </c>
      <c r="G61" s="60"/>
      <c r="H61" s="60" t="s">
        <v>889</v>
      </c>
      <c r="I61" s="73"/>
      <c r="O61" s="278"/>
      <c r="P61" s="267"/>
    </row>
    <row r="62" spans="1:16" x14ac:dyDescent="0.25">
      <c r="A62" s="542"/>
      <c r="B62" s="533"/>
      <c r="C62" s="132" t="s">
        <v>290</v>
      </c>
      <c r="D62" s="305" t="s">
        <v>861</v>
      </c>
      <c r="E62" s="279"/>
      <c r="F62" s="279">
        <v>0</v>
      </c>
      <c r="G62" s="289"/>
      <c r="H62" s="289" t="s">
        <v>889</v>
      </c>
      <c r="I62" s="290"/>
      <c r="O62" s="278"/>
      <c r="P62" s="267"/>
    </row>
    <row r="63" spans="1:16" ht="15.75" thickBot="1" x14ac:dyDescent="0.3">
      <c r="A63" s="543"/>
      <c r="B63" s="533"/>
      <c r="C63" s="186" t="s">
        <v>290</v>
      </c>
      <c r="D63" s="187" t="s">
        <v>863</v>
      </c>
      <c r="E63" s="204"/>
      <c r="F63" s="204">
        <v>0</v>
      </c>
      <c r="G63" s="60"/>
      <c r="H63" s="60" t="s">
        <v>889</v>
      </c>
      <c r="I63" s="73"/>
      <c r="O63" s="278"/>
      <c r="P63" s="267"/>
    </row>
    <row r="64" spans="1:16" x14ac:dyDescent="0.25">
      <c r="A64" s="518" t="s">
        <v>1154</v>
      </c>
      <c r="B64" s="535" t="s">
        <v>574</v>
      </c>
      <c r="C64" s="281" t="s">
        <v>207</v>
      </c>
      <c r="D64" s="287" t="s">
        <v>581</v>
      </c>
      <c r="E64" s="277">
        <f>'Вспомогательная (Панели)'!D27</f>
        <v>0</v>
      </c>
      <c r="F64" s="277">
        <v>0</v>
      </c>
      <c r="G64" s="287"/>
      <c r="H64" s="287" t="s">
        <v>1041</v>
      </c>
      <c r="I64" s="288"/>
      <c r="J64" s="40"/>
      <c r="O64" s="278"/>
      <c r="P64" s="267"/>
    </row>
    <row r="65" spans="1:16" x14ac:dyDescent="0.25">
      <c r="A65" s="518"/>
      <c r="B65" s="512"/>
      <c r="C65" s="266" t="s">
        <v>207</v>
      </c>
      <c r="D65" s="289" t="s">
        <v>581</v>
      </c>
      <c r="E65" s="279">
        <f>'Вспомогательная (Панели)'!D28</f>
        <v>0</v>
      </c>
      <c r="F65" s="279">
        <v>0</v>
      </c>
      <c r="G65" s="289"/>
      <c r="H65" s="289" t="s">
        <v>1041</v>
      </c>
      <c r="I65" s="290"/>
      <c r="J65" s="40"/>
      <c r="O65" s="278"/>
      <c r="P65" s="267"/>
    </row>
    <row r="66" spans="1:16" x14ac:dyDescent="0.25">
      <c r="A66" s="518"/>
      <c r="B66" s="512"/>
      <c r="C66" s="266" t="s">
        <v>207</v>
      </c>
      <c r="D66" s="289" t="s">
        <v>581</v>
      </c>
      <c r="E66" s="279">
        <f>'Вспомогательная (Панели)'!D29</f>
        <v>0</v>
      </c>
      <c r="F66" s="279">
        <v>0</v>
      </c>
      <c r="G66" s="289"/>
      <c r="H66" s="289" t="s">
        <v>1041</v>
      </c>
      <c r="I66" s="290"/>
      <c r="J66" s="40"/>
      <c r="O66" s="278"/>
      <c r="P66" s="267"/>
    </row>
    <row r="67" spans="1:16" x14ac:dyDescent="0.25">
      <c r="A67" s="518"/>
      <c r="B67" s="512"/>
      <c r="C67" s="266" t="s">
        <v>207</v>
      </c>
      <c r="D67" s="289" t="s">
        <v>1042</v>
      </c>
      <c r="E67" s="279">
        <f>'Вспомогательная (Панели)'!D30</f>
        <v>0</v>
      </c>
      <c r="F67" s="279">
        <v>0</v>
      </c>
      <c r="G67" s="289"/>
      <c r="H67" s="289" t="s">
        <v>1041</v>
      </c>
      <c r="I67" s="290"/>
      <c r="J67" s="40"/>
      <c r="O67" s="278"/>
      <c r="P67" s="267"/>
    </row>
    <row r="68" spans="1:16" x14ac:dyDescent="0.25">
      <c r="A68" s="518"/>
      <c r="B68" s="512"/>
      <c r="C68" s="266" t="s">
        <v>207</v>
      </c>
      <c r="D68" s="280" t="s">
        <v>1043</v>
      </c>
      <c r="E68" s="279">
        <f>'Вспомогательная (Панели)'!D31</f>
        <v>0</v>
      </c>
      <c r="F68" s="279">
        <v>0</v>
      </c>
      <c r="G68" s="289"/>
      <c r="H68" s="289" t="s">
        <v>1041</v>
      </c>
      <c r="I68" s="290"/>
      <c r="J68" s="40"/>
      <c r="O68" s="278"/>
      <c r="P68" s="267"/>
    </row>
    <row r="69" spans="1:16" ht="15.75" thickBot="1" x14ac:dyDescent="0.3">
      <c r="A69" s="518"/>
      <c r="B69" s="536"/>
      <c r="C69" s="104" t="s">
        <v>215</v>
      </c>
      <c r="D69" s="89" t="s">
        <v>1044</v>
      </c>
      <c r="E69" s="205"/>
      <c r="F69" s="205">
        <v>0</v>
      </c>
      <c r="G69" s="60"/>
      <c r="H69" s="60" t="s">
        <v>1045</v>
      </c>
      <c r="I69" s="73"/>
      <c r="J69" s="40"/>
      <c r="O69" s="278"/>
      <c r="P69" s="267"/>
    </row>
    <row r="70" spans="1:16" x14ac:dyDescent="0.25">
      <c r="A70" s="518"/>
      <c r="B70" s="537" t="s">
        <v>548</v>
      </c>
      <c r="C70" s="281" t="s">
        <v>207</v>
      </c>
      <c r="D70" s="109" t="s">
        <v>551</v>
      </c>
      <c r="E70" s="277">
        <f>'Вспомогательная (Панели)'!D32</f>
        <v>0</v>
      </c>
      <c r="F70" s="277">
        <v>0</v>
      </c>
      <c r="G70" s="287"/>
      <c r="H70" s="287" t="s">
        <v>548</v>
      </c>
      <c r="I70" s="288"/>
      <c r="J70" s="40"/>
      <c r="O70" s="278"/>
      <c r="P70" s="267"/>
    </row>
    <row r="71" spans="1:16" x14ac:dyDescent="0.25">
      <c r="A71" s="518"/>
      <c r="B71" s="538"/>
      <c r="C71" s="266" t="s">
        <v>207</v>
      </c>
      <c r="D71" s="280" t="s">
        <v>553</v>
      </c>
      <c r="E71" s="279">
        <f>'Вспомогательная (Панели)'!D18</f>
        <v>0</v>
      </c>
      <c r="F71" s="279">
        <v>0</v>
      </c>
      <c r="G71" s="289"/>
      <c r="H71" s="289" t="s">
        <v>548</v>
      </c>
      <c r="I71" s="290"/>
      <c r="J71" s="40"/>
      <c r="O71" s="278"/>
      <c r="P71" s="267"/>
    </row>
    <row r="72" spans="1:16" x14ac:dyDescent="0.25">
      <c r="A72" s="518"/>
      <c r="B72" s="538"/>
      <c r="C72" s="266" t="s">
        <v>207</v>
      </c>
      <c r="D72" s="280" t="s">
        <v>1155</v>
      </c>
      <c r="E72" s="279">
        <f>'Вспомогательная (Панели)'!D34</f>
        <v>0</v>
      </c>
      <c r="F72" s="279">
        <v>0</v>
      </c>
      <c r="G72" s="289"/>
      <c r="H72" s="289" t="s">
        <v>548</v>
      </c>
      <c r="I72" s="290"/>
      <c r="J72" s="40"/>
      <c r="O72" s="278"/>
      <c r="P72" s="267"/>
    </row>
    <row r="73" spans="1:16" ht="15.75" thickBot="1" x14ac:dyDescent="0.3">
      <c r="A73" s="518"/>
      <c r="B73" s="539"/>
      <c r="C73" s="283" t="s">
        <v>215</v>
      </c>
      <c r="D73" s="300" t="s">
        <v>339</v>
      </c>
      <c r="E73" s="284"/>
      <c r="F73" s="284">
        <v>0</v>
      </c>
      <c r="G73" s="285"/>
      <c r="H73" s="285" t="s">
        <v>1049</v>
      </c>
      <c r="I73" s="286"/>
      <c r="J73" s="40"/>
      <c r="O73" s="278"/>
      <c r="P73" s="267"/>
    </row>
    <row r="74" spans="1:16" x14ac:dyDescent="0.25">
      <c r="A74" s="518"/>
      <c r="B74" s="537" t="s">
        <v>671</v>
      </c>
      <c r="C74" s="281" t="s">
        <v>207</v>
      </c>
      <c r="D74" s="282" t="s">
        <v>1050</v>
      </c>
      <c r="E74" s="277">
        <f>'Вспомогательная (Панели)'!D35</f>
        <v>0</v>
      </c>
      <c r="F74" s="277">
        <v>0</v>
      </c>
      <c r="G74" s="287"/>
      <c r="H74" s="287" t="s">
        <v>1051</v>
      </c>
      <c r="I74" s="288"/>
      <c r="J74" s="40"/>
      <c r="O74" s="278"/>
      <c r="P74" s="267"/>
    </row>
    <row r="75" spans="1:16" ht="15.75" thickBot="1" x14ac:dyDescent="0.3">
      <c r="A75" s="518"/>
      <c r="B75" s="540"/>
      <c r="C75" s="283" t="s">
        <v>215</v>
      </c>
      <c r="D75" s="300" t="s">
        <v>1052</v>
      </c>
      <c r="E75" s="284"/>
      <c r="F75" s="284">
        <v>0</v>
      </c>
      <c r="G75" s="285"/>
      <c r="H75" s="285" t="s">
        <v>1053</v>
      </c>
      <c r="I75" s="286"/>
      <c r="J75" s="40"/>
      <c r="O75" s="278"/>
      <c r="P75" s="267"/>
    </row>
    <row r="76" spans="1:16" x14ac:dyDescent="0.25">
      <c r="A76" s="518"/>
      <c r="B76" s="537" t="s">
        <v>1156</v>
      </c>
      <c r="C76" s="276" t="s">
        <v>215</v>
      </c>
      <c r="D76" s="111" t="s">
        <v>1054</v>
      </c>
      <c r="E76" s="306"/>
      <c r="F76" s="306">
        <v>0</v>
      </c>
      <c r="G76" s="287"/>
      <c r="H76" s="287" t="s">
        <v>1055</v>
      </c>
      <c r="I76" s="288"/>
      <c r="J76" s="40"/>
      <c r="O76" s="278"/>
      <c r="P76" s="267"/>
    </row>
    <row r="77" spans="1:16" ht="15.75" thickBot="1" x14ac:dyDescent="0.3">
      <c r="A77" s="518"/>
      <c r="B77" s="540"/>
      <c r="C77" s="307" t="s">
        <v>205</v>
      </c>
      <c r="D77" s="308" t="s">
        <v>645</v>
      </c>
      <c r="E77" s="293">
        <f>'Вспомогательная (Панели)'!D36</f>
        <v>0</v>
      </c>
      <c r="F77" s="293">
        <v>0</v>
      </c>
      <c r="G77" s="285"/>
      <c r="H77" s="285" t="s">
        <v>1056</v>
      </c>
      <c r="I77" s="286"/>
      <c r="J77" s="40"/>
      <c r="O77" s="278"/>
      <c r="P77" s="267"/>
    </row>
    <row r="78" spans="1:16" x14ac:dyDescent="0.25">
      <c r="A78" s="518"/>
      <c r="B78" s="529" t="s">
        <v>662</v>
      </c>
      <c r="C78" s="298" t="s">
        <v>213</v>
      </c>
      <c r="D78" s="282" t="s">
        <v>1057</v>
      </c>
      <c r="E78" s="277"/>
      <c r="F78" s="277">
        <v>0</v>
      </c>
      <c r="G78" s="287"/>
      <c r="H78" s="287" t="s">
        <v>1058</v>
      </c>
      <c r="I78" s="288"/>
      <c r="J78" s="40">
        <v>1</v>
      </c>
      <c r="O78" s="278"/>
      <c r="P78" s="267"/>
    </row>
    <row r="79" spans="1:16" ht="15" customHeight="1" x14ac:dyDescent="0.25">
      <c r="A79" s="518"/>
      <c r="B79" s="530"/>
      <c r="C79" s="268" t="s">
        <v>213</v>
      </c>
      <c r="D79" s="295" t="s">
        <v>1059</v>
      </c>
      <c r="E79" s="309"/>
      <c r="F79" s="309">
        <v>0</v>
      </c>
      <c r="G79" s="289"/>
      <c r="H79" s="289"/>
      <c r="I79" s="290"/>
      <c r="J79" s="40"/>
      <c r="O79" s="278"/>
      <c r="P79" s="267"/>
    </row>
    <row r="80" spans="1:16" ht="15.75" thickBot="1" x14ac:dyDescent="0.3">
      <c r="A80" s="534"/>
      <c r="B80" s="532"/>
      <c r="C80" s="161" t="s">
        <v>215</v>
      </c>
      <c r="D80" s="124" t="s">
        <v>1010</v>
      </c>
      <c r="E80" s="209"/>
      <c r="F80" s="209">
        <v>0</v>
      </c>
      <c r="G80" s="126"/>
      <c r="H80" s="126" t="s">
        <v>1060</v>
      </c>
      <c r="I80" s="163"/>
      <c r="J80" s="40"/>
      <c r="O80" s="278"/>
      <c r="P80" s="267"/>
    </row>
    <row r="81" spans="1:16" x14ac:dyDescent="0.25">
      <c r="A81" s="548" t="s">
        <v>1061</v>
      </c>
      <c r="B81" s="544" t="s">
        <v>833</v>
      </c>
      <c r="C81" s="310" t="s">
        <v>205</v>
      </c>
      <c r="D81" s="287" t="s">
        <v>1062</v>
      </c>
      <c r="E81" s="277">
        <f>'Вспомогательная (Панели)'!D38</f>
        <v>0</v>
      </c>
      <c r="F81" s="277">
        <v>0</v>
      </c>
      <c r="G81" s="287"/>
      <c r="H81" s="287" t="s">
        <v>827</v>
      </c>
      <c r="I81" s="288"/>
      <c r="J81" s="40"/>
      <c r="O81" s="278"/>
      <c r="P81" s="267"/>
    </row>
    <row r="82" spans="1:16" x14ac:dyDescent="0.25">
      <c r="A82" s="549"/>
      <c r="B82" s="545"/>
      <c r="C82" s="265" t="s">
        <v>205</v>
      </c>
      <c r="D82" s="289" t="s">
        <v>1063</v>
      </c>
      <c r="E82" s="279">
        <f>'Вспомогательная (Панели)'!D39</f>
        <v>0</v>
      </c>
      <c r="F82" s="279">
        <v>0</v>
      </c>
      <c r="G82" s="289"/>
      <c r="H82" s="80" t="s">
        <v>827</v>
      </c>
      <c r="I82" s="290"/>
      <c r="J82" s="40"/>
      <c r="O82" s="278"/>
      <c r="P82" s="267"/>
    </row>
    <row r="83" spans="1:16" x14ac:dyDescent="0.25">
      <c r="A83" s="549"/>
      <c r="B83" s="545"/>
      <c r="C83" s="132" t="s">
        <v>290</v>
      </c>
      <c r="D83" s="311" t="s">
        <v>152</v>
      </c>
      <c r="E83" s="297"/>
      <c r="F83" s="297">
        <v>0</v>
      </c>
      <c r="G83" s="289"/>
      <c r="H83" s="289" t="s">
        <v>836</v>
      </c>
      <c r="I83" s="290"/>
      <c r="J83" s="40"/>
      <c r="O83" s="278"/>
      <c r="P83" s="267"/>
    </row>
    <row r="84" spans="1:16" x14ac:dyDescent="0.25">
      <c r="A84" s="549"/>
      <c r="B84" s="545"/>
      <c r="C84" s="269" t="s">
        <v>215</v>
      </c>
      <c r="D84" s="311" t="s">
        <v>1064</v>
      </c>
      <c r="E84" s="297"/>
      <c r="F84" s="297">
        <v>0</v>
      </c>
      <c r="G84" s="289"/>
      <c r="H84" s="289" t="s">
        <v>837</v>
      </c>
      <c r="I84" s="290"/>
      <c r="J84" s="40"/>
      <c r="O84" s="278"/>
      <c r="P84" s="267"/>
    </row>
    <row r="85" spans="1:16" ht="15.75" thickBot="1" x14ac:dyDescent="0.3">
      <c r="A85" s="549"/>
      <c r="B85" s="546"/>
      <c r="C85" s="283" t="s">
        <v>215</v>
      </c>
      <c r="D85" s="285" t="s">
        <v>679</v>
      </c>
      <c r="E85" s="284"/>
      <c r="F85" s="312">
        <v>0</v>
      </c>
      <c r="G85" s="285"/>
      <c r="H85" s="126" t="s">
        <v>838</v>
      </c>
      <c r="I85" s="286"/>
      <c r="J85" s="40"/>
      <c r="O85" s="278"/>
      <c r="P85" s="267"/>
    </row>
    <row r="86" spans="1:16" x14ac:dyDescent="0.25">
      <c r="A86" s="549"/>
      <c r="B86" s="529" t="s">
        <v>655</v>
      </c>
      <c r="C86" s="310" t="s">
        <v>205</v>
      </c>
      <c r="D86" s="287" t="s">
        <v>826</v>
      </c>
      <c r="E86" s="277">
        <f>'Вспомогательная (Панели)'!D40</f>
        <v>0</v>
      </c>
      <c r="F86" s="277">
        <v>0</v>
      </c>
      <c r="G86" s="287"/>
      <c r="H86" s="287" t="s">
        <v>827</v>
      </c>
      <c r="I86" s="288"/>
      <c r="O86" s="278"/>
      <c r="P86" s="267"/>
    </row>
    <row r="87" spans="1:16" x14ac:dyDescent="0.25">
      <c r="A87" s="549"/>
      <c r="B87" s="533"/>
      <c r="C87" s="265" t="s">
        <v>205</v>
      </c>
      <c r="D87" s="289" t="s">
        <v>1065</v>
      </c>
      <c r="E87" s="279">
        <f>'Вспомогательная (Панели)'!D41</f>
        <v>0</v>
      </c>
      <c r="F87" s="279">
        <v>0</v>
      </c>
      <c r="G87" s="289"/>
      <c r="H87" s="56" t="s">
        <v>827</v>
      </c>
      <c r="I87" s="290"/>
      <c r="O87" s="278"/>
      <c r="P87" s="267"/>
    </row>
    <row r="88" spans="1:16" x14ac:dyDescent="0.25">
      <c r="A88" s="549"/>
      <c r="B88" s="533"/>
      <c r="C88" s="132" t="s">
        <v>290</v>
      </c>
      <c r="D88" s="311" t="s">
        <v>152</v>
      </c>
      <c r="E88" s="297"/>
      <c r="F88" s="297">
        <v>0</v>
      </c>
      <c r="G88" s="289"/>
      <c r="H88" s="289" t="s">
        <v>830</v>
      </c>
      <c r="I88" s="290"/>
      <c r="O88" s="278"/>
      <c r="P88" s="267"/>
    </row>
    <row r="89" spans="1:16" x14ac:dyDescent="0.25">
      <c r="A89" s="549"/>
      <c r="B89" s="533"/>
      <c r="C89" s="269" t="s">
        <v>215</v>
      </c>
      <c r="D89" s="311" t="s">
        <v>516</v>
      </c>
      <c r="E89" s="297"/>
      <c r="F89" s="297">
        <v>0</v>
      </c>
      <c r="G89" s="289"/>
      <c r="H89" s="289" t="s">
        <v>831</v>
      </c>
      <c r="I89" s="290"/>
      <c r="O89" s="278"/>
      <c r="P89" s="267"/>
    </row>
    <row r="90" spans="1:16" ht="15.75" thickBot="1" x14ac:dyDescent="0.3">
      <c r="A90" s="549"/>
      <c r="B90" s="533"/>
      <c r="C90" s="104" t="s">
        <v>215</v>
      </c>
      <c r="D90" s="285" t="s">
        <v>679</v>
      </c>
      <c r="E90" s="205"/>
      <c r="F90" s="210">
        <v>0</v>
      </c>
      <c r="G90" s="60"/>
      <c r="H90" s="80" t="s">
        <v>832</v>
      </c>
      <c r="I90" s="73"/>
      <c r="O90" s="278"/>
      <c r="P90" s="267"/>
    </row>
    <row r="91" spans="1:16" x14ac:dyDescent="0.25">
      <c r="A91" s="549"/>
      <c r="B91" s="529" t="s">
        <v>784</v>
      </c>
      <c r="C91" s="281" t="s">
        <v>207</v>
      </c>
      <c r="D91" s="282" t="s">
        <v>1066</v>
      </c>
      <c r="E91" s="277">
        <f>'Вспомогательная (Панели)'!D42</f>
        <v>0</v>
      </c>
      <c r="F91" s="277">
        <v>0</v>
      </c>
      <c r="G91" s="282"/>
      <c r="H91" s="282" t="s">
        <v>786</v>
      </c>
      <c r="I91" s="313"/>
      <c r="O91" s="278"/>
      <c r="P91" s="267"/>
    </row>
    <row r="92" spans="1:16" ht="15.75" thickBot="1" x14ac:dyDescent="0.3">
      <c r="A92" s="549"/>
      <c r="B92" s="532"/>
      <c r="C92" s="283" t="s">
        <v>215</v>
      </c>
      <c r="D92" s="300" t="s">
        <v>1012</v>
      </c>
      <c r="E92" s="312"/>
      <c r="F92" s="312">
        <v>0</v>
      </c>
      <c r="G92" s="292"/>
      <c r="H92" s="292" t="s">
        <v>787</v>
      </c>
      <c r="I92" s="314"/>
      <c r="O92" s="278"/>
      <c r="P92" s="267"/>
    </row>
    <row r="93" spans="1:16" x14ac:dyDescent="0.25">
      <c r="A93" s="549"/>
      <c r="B93" s="547" t="s">
        <v>794</v>
      </c>
      <c r="C93" s="298" t="s">
        <v>213</v>
      </c>
      <c r="D93" s="315" t="s">
        <v>795</v>
      </c>
      <c r="E93" s="277"/>
      <c r="F93" s="277">
        <v>0</v>
      </c>
      <c r="G93" s="282"/>
      <c r="H93" s="282" t="s">
        <v>1067</v>
      </c>
      <c r="I93" s="313"/>
      <c r="J93" s="264">
        <v>1</v>
      </c>
      <c r="O93" s="278"/>
      <c r="P93" s="267"/>
    </row>
    <row r="94" spans="1:16" ht="15.75" thickBot="1" x14ac:dyDescent="0.3">
      <c r="A94" s="549"/>
      <c r="B94" s="533"/>
      <c r="C94" s="104" t="s">
        <v>215</v>
      </c>
      <c r="D94" s="89" t="s">
        <v>1039</v>
      </c>
      <c r="E94" s="205"/>
      <c r="F94" s="205">
        <v>0</v>
      </c>
      <c r="G94" s="75"/>
      <c r="H94" s="75" t="s">
        <v>798</v>
      </c>
      <c r="I94" s="88"/>
      <c r="O94" s="278"/>
      <c r="P94" s="267"/>
    </row>
    <row r="95" spans="1:16" x14ac:dyDescent="0.25">
      <c r="A95" s="549"/>
      <c r="B95" s="524" t="s">
        <v>662</v>
      </c>
      <c r="C95" s="298" t="s">
        <v>213</v>
      </c>
      <c r="D95" s="282" t="s">
        <v>1057</v>
      </c>
      <c r="E95" s="277"/>
      <c r="F95" s="277">
        <v>0</v>
      </c>
      <c r="G95" s="282"/>
      <c r="H95" s="282" t="s">
        <v>800</v>
      </c>
      <c r="I95" s="313"/>
      <c r="J95" s="264">
        <v>1</v>
      </c>
      <c r="O95" s="278"/>
      <c r="P95" s="267"/>
    </row>
    <row r="96" spans="1:16" ht="15.75" thickBot="1" x14ac:dyDescent="0.3">
      <c r="A96" s="549"/>
      <c r="B96" s="551"/>
      <c r="C96" s="269" t="s">
        <v>215</v>
      </c>
      <c r="D96" s="280" t="s">
        <v>1068</v>
      </c>
      <c r="E96" s="297"/>
      <c r="F96" s="297">
        <v>0</v>
      </c>
      <c r="G96" s="280"/>
      <c r="H96" s="280" t="s">
        <v>801</v>
      </c>
      <c r="I96" s="316"/>
      <c r="O96" s="278"/>
      <c r="P96" s="267"/>
    </row>
    <row r="97" spans="1:16" x14ac:dyDescent="0.25">
      <c r="A97" s="549"/>
      <c r="B97" s="529" t="s">
        <v>821</v>
      </c>
      <c r="C97" s="302" t="s">
        <v>220</v>
      </c>
      <c r="D97" s="303" t="s">
        <v>524</v>
      </c>
      <c r="E97" s="317"/>
      <c r="F97" s="277">
        <v>0</v>
      </c>
      <c r="G97" s="287"/>
      <c r="H97" s="101" t="s">
        <v>1069</v>
      </c>
      <c r="I97" s="288" t="s">
        <v>823</v>
      </c>
      <c r="J97" s="40"/>
      <c r="K97" s="40"/>
      <c r="O97" s="278"/>
      <c r="P97" s="267"/>
    </row>
    <row r="98" spans="1:16" x14ac:dyDescent="0.25">
      <c r="A98" s="549"/>
      <c r="B98" s="533"/>
      <c r="C98" s="270" t="s">
        <v>220</v>
      </c>
      <c r="D98" s="304" t="s">
        <v>526</v>
      </c>
      <c r="E98" s="318"/>
      <c r="F98" s="279">
        <v>0</v>
      </c>
      <c r="G98" s="289"/>
      <c r="H98" s="289" t="s">
        <v>1069</v>
      </c>
      <c r="I98" s="290" t="s">
        <v>527</v>
      </c>
      <c r="J98" s="40"/>
      <c r="K98" s="40"/>
      <c r="O98" s="278"/>
      <c r="P98" s="267"/>
    </row>
    <row r="99" spans="1:16" x14ac:dyDescent="0.25">
      <c r="A99" s="549"/>
      <c r="B99" s="533"/>
      <c r="C99" s="270" t="s">
        <v>220</v>
      </c>
      <c r="D99" s="304" t="s">
        <v>528</v>
      </c>
      <c r="E99" s="318"/>
      <c r="F99" s="279">
        <v>0</v>
      </c>
      <c r="G99" s="289"/>
      <c r="H99" s="289" t="s">
        <v>1069</v>
      </c>
      <c r="I99" s="290"/>
      <c r="J99" s="40"/>
      <c r="K99" s="40"/>
      <c r="O99" s="278"/>
      <c r="P99" s="267"/>
    </row>
    <row r="100" spans="1:16" x14ac:dyDescent="0.25">
      <c r="A100" s="549"/>
      <c r="B100" s="533"/>
      <c r="C100" s="270" t="s">
        <v>220</v>
      </c>
      <c r="D100" s="304" t="s">
        <v>529</v>
      </c>
      <c r="E100" s="318"/>
      <c r="F100" s="279">
        <v>0</v>
      </c>
      <c r="G100" s="289"/>
      <c r="H100" s="289" t="s">
        <v>1069</v>
      </c>
      <c r="I100" s="290"/>
      <c r="J100" s="40"/>
      <c r="K100" s="40"/>
      <c r="O100" s="278"/>
      <c r="P100" s="267"/>
    </row>
    <row r="101" spans="1:16" x14ac:dyDescent="0.25">
      <c r="A101" s="549"/>
      <c r="B101" s="533"/>
      <c r="C101" s="270" t="s">
        <v>220</v>
      </c>
      <c r="D101" s="319" t="s">
        <v>530</v>
      </c>
      <c r="E101" s="318"/>
      <c r="F101" s="279">
        <v>0</v>
      </c>
      <c r="G101" s="289"/>
      <c r="H101" s="289" t="s">
        <v>1069</v>
      </c>
      <c r="I101" s="290"/>
      <c r="J101" s="40"/>
      <c r="K101" s="40"/>
      <c r="O101" s="278"/>
      <c r="P101" s="267"/>
    </row>
    <row r="102" spans="1:16" ht="15.75" thickBot="1" x14ac:dyDescent="0.3">
      <c r="A102" s="550"/>
      <c r="B102" s="532"/>
      <c r="C102" s="320" t="s">
        <v>220</v>
      </c>
      <c r="D102" s="321" t="s">
        <v>531</v>
      </c>
      <c r="E102" s="322"/>
      <c r="F102" s="293">
        <v>0</v>
      </c>
      <c r="G102" s="285"/>
      <c r="H102" s="285" t="s">
        <v>1069</v>
      </c>
      <c r="I102" s="286"/>
      <c r="J102" s="40"/>
      <c r="K102" s="40"/>
      <c r="O102" s="278"/>
      <c r="P102" s="267"/>
    </row>
    <row r="103" spans="1:16" ht="15.75" customHeight="1" x14ac:dyDescent="0.25">
      <c r="A103" s="552" t="s">
        <v>1070</v>
      </c>
      <c r="B103" s="529" t="s">
        <v>574</v>
      </c>
      <c r="C103" s="281" t="s">
        <v>207</v>
      </c>
      <c r="D103" s="287" t="s">
        <v>581</v>
      </c>
      <c r="E103" s="277">
        <f>'Вспомогательная (Панели)'!D43</f>
        <v>0</v>
      </c>
      <c r="F103" s="277">
        <v>0</v>
      </c>
      <c r="G103" s="287"/>
      <c r="H103" s="287" t="s">
        <v>1041</v>
      </c>
      <c r="I103" s="288"/>
      <c r="J103" s="40"/>
      <c r="K103" s="40"/>
      <c r="L103" s="40"/>
      <c r="O103" s="278">
        <v>9.09</v>
      </c>
      <c r="P103" s="267">
        <f>O103*E103</f>
        <v>0</v>
      </c>
    </row>
    <row r="104" spans="1:16" ht="15" customHeight="1" x14ac:dyDescent="0.25">
      <c r="A104" s="507"/>
      <c r="B104" s="533"/>
      <c r="C104" s="266" t="s">
        <v>207</v>
      </c>
      <c r="D104" s="289" t="s">
        <v>581</v>
      </c>
      <c r="E104" s="279">
        <f>'Вспомогательная (Панели)'!D44</f>
        <v>0</v>
      </c>
      <c r="F104" s="279">
        <v>0</v>
      </c>
      <c r="G104" s="289"/>
      <c r="H104" s="56" t="s">
        <v>1041</v>
      </c>
      <c r="I104" s="290"/>
      <c r="J104" s="40"/>
      <c r="K104" s="40"/>
      <c r="L104" s="40"/>
      <c r="O104" s="278"/>
      <c r="P104" s="267"/>
    </row>
    <row r="105" spans="1:16" ht="15" customHeight="1" x14ac:dyDescent="0.25">
      <c r="A105" s="507"/>
      <c r="B105" s="533"/>
      <c r="C105" s="266" t="s">
        <v>207</v>
      </c>
      <c r="D105" s="289" t="s">
        <v>581</v>
      </c>
      <c r="E105" s="279">
        <f>'Вспомогательная (Панели)'!D45</f>
        <v>0</v>
      </c>
      <c r="F105" s="279">
        <v>0</v>
      </c>
      <c r="G105" s="289"/>
      <c r="H105" s="56" t="s">
        <v>1041</v>
      </c>
      <c r="I105" s="290"/>
      <c r="J105" s="40"/>
      <c r="K105" s="40"/>
      <c r="L105" s="40"/>
      <c r="O105" s="278"/>
      <c r="P105" s="267"/>
    </row>
    <row r="106" spans="1:16" ht="15" customHeight="1" x14ac:dyDescent="0.25">
      <c r="A106" s="507"/>
      <c r="B106" s="533"/>
      <c r="C106" s="266" t="s">
        <v>207</v>
      </c>
      <c r="D106" s="289" t="s">
        <v>1042</v>
      </c>
      <c r="E106" s="279">
        <f>'Вспомогательная (Панели)'!D46</f>
        <v>0</v>
      </c>
      <c r="F106" s="279">
        <v>0</v>
      </c>
      <c r="G106" s="289"/>
      <c r="H106" s="56" t="s">
        <v>1041</v>
      </c>
      <c r="I106" s="290"/>
      <c r="J106" s="40"/>
      <c r="K106" s="40"/>
      <c r="L106" s="40"/>
      <c r="O106" s="278">
        <v>8.4</v>
      </c>
      <c r="P106" s="267">
        <f>O106*E106</f>
        <v>0</v>
      </c>
    </row>
    <row r="107" spans="1:16" ht="15" customHeight="1" x14ac:dyDescent="0.25">
      <c r="A107" s="507"/>
      <c r="B107" s="533"/>
      <c r="C107" s="266" t="s">
        <v>207</v>
      </c>
      <c r="D107" s="280" t="s">
        <v>1043</v>
      </c>
      <c r="E107" s="279">
        <f>'Вспомогательная (Панели)'!D47</f>
        <v>0</v>
      </c>
      <c r="F107" s="279">
        <v>0</v>
      </c>
      <c r="G107" s="289"/>
      <c r="H107" s="56" t="s">
        <v>1041</v>
      </c>
      <c r="I107" s="290"/>
      <c r="J107" s="40"/>
      <c r="K107" s="40"/>
      <c r="L107" s="40"/>
      <c r="O107" s="278">
        <v>5.37</v>
      </c>
      <c r="P107" s="267">
        <f>O107*E107</f>
        <v>0</v>
      </c>
    </row>
    <row r="108" spans="1:16" ht="15.75" customHeight="1" thickBot="1" x14ac:dyDescent="0.3">
      <c r="A108" s="507"/>
      <c r="B108" s="532"/>
      <c r="C108" s="283" t="s">
        <v>215</v>
      </c>
      <c r="D108" s="300" t="s">
        <v>1044</v>
      </c>
      <c r="E108" s="284"/>
      <c r="F108" s="284">
        <v>0</v>
      </c>
      <c r="G108" s="285"/>
      <c r="H108" s="285" t="s">
        <v>1045</v>
      </c>
      <c r="I108" s="286" t="s">
        <v>585</v>
      </c>
      <c r="J108" s="40"/>
      <c r="K108" s="40"/>
      <c r="L108" s="40"/>
      <c r="O108" s="278"/>
      <c r="P108" s="267"/>
    </row>
    <row r="109" spans="1:16" ht="15.75" customHeight="1" x14ac:dyDescent="0.25">
      <c r="A109" s="507"/>
      <c r="B109" s="529" t="s">
        <v>548</v>
      </c>
      <c r="C109" s="97" t="s">
        <v>207</v>
      </c>
      <c r="D109" s="86" t="s">
        <v>1046</v>
      </c>
      <c r="E109" s="208">
        <f>'Вспомогательная (Панели)'!D48</f>
        <v>0</v>
      </c>
      <c r="F109" s="208">
        <v>0</v>
      </c>
      <c r="G109" s="56"/>
      <c r="H109" s="289" t="s">
        <v>548</v>
      </c>
      <c r="I109" s="121"/>
      <c r="J109" s="40"/>
      <c r="K109" s="40"/>
      <c r="L109" s="40"/>
      <c r="O109" s="278"/>
      <c r="P109" s="267"/>
    </row>
    <row r="110" spans="1:16" ht="15.75" customHeight="1" x14ac:dyDescent="0.25">
      <c r="A110" s="507"/>
      <c r="B110" s="530"/>
      <c r="C110" s="97" t="s">
        <v>207</v>
      </c>
      <c r="D110" s="86" t="s">
        <v>1048</v>
      </c>
      <c r="E110" s="208">
        <f>'Вспомогательная (Панели)'!D49</f>
        <v>99999999</v>
      </c>
      <c r="F110" s="208">
        <v>0</v>
      </c>
      <c r="G110" s="56"/>
      <c r="H110" s="289" t="s">
        <v>548</v>
      </c>
      <c r="I110" s="290"/>
      <c r="J110" s="40"/>
      <c r="K110" s="40"/>
      <c r="L110" s="40"/>
      <c r="O110" s="278">
        <v>1.79</v>
      </c>
      <c r="P110" s="267">
        <f>O110*E110</f>
        <v>178999998.21000001</v>
      </c>
    </row>
    <row r="111" spans="1:16" ht="15.75" customHeight="1" x14ac:dyDescent="0.25">
      <c r="A111" s="507"/>
      <c r="B111" s="530"/>
      <c r="C111" s="97" t="s">
        <v>207</v>
      </c>
      <c r="D111" s="280" t="s">
        <v>141</v>
      </c>
      <c r="E111" s="208">
        <f>'Вспомогательная (Панели)'!D50</f>
        <v>99999999</v>
      </c>
      <c r="F111" s="208">
        <v>0</v>
      </c>
      <c r="G111" s="56"/>
      <c r="H111" s="289" t="s">
        <v>548</v>
      </c>
      <c r="I111" s="290"/>
      <c r="J111" s="40"/>
      <c r="K111" s="40"/>
      <c r="L111" s="40"/>
      <c r="O111" s="278"/>
      <c r="P111" s="267"/>
    </row>
    <row r="112" spans="1:16" ht="15.75" customHeight="1" x14ac:dyDescent="0.25">
      <c r="A112" s="507"/>
      <c r="B112" s="530"/>
      <c r="C112" s="97" t="s">
        <v>207</v>
      </c>
      <c r="D112" s="280" t="s">
        <v>140</v>
      </c>
      <c r="E112" s="208">
        <f>'Вспомогательная (Панели)'!D51</f>
        <v>99999999</v>
      </c>
      <c r="F112" s="208">
        <v>0</v>
      </c>
      <c r="G112" s="56"/>
      <c r="H112" s="289" t="s">
        <v>548</v>
      </c>
      <c r="I112" s="290"/>
      <c r="J112" s="40"/>
      <c r="K112" s="40"/>
      <c r="L112" s="40"/>
      <c r="O112" s="278"/>
      <c r="P112" s="267"/>
    </row>
    <row r="113" spans="1:16" ht="15.75" customHeight="1" x14ac:dyDescent="0.25">
      <c r="A113" s="507"/>
      <c r="B113" s="530"/>
      <c r="C113" s="269" t="s">
        <v>215</v>
      </c>
      <c r="D113" s="295" t="s">
        <v>339</v>
      </c>
      <c r="E113" s="297"/>
      <c r="F113" s="297">
        <v>0</v>
      </c>
      <c r="G113" s="289"/>
      <c r="H113" s="289" t="s">
        <v>1049</v>
      </c>
      <c r="I113" s="290"/>
      <c r="J113" s="40"/>
      <c r="K113" s="40"/>
      <c r="L113" s="40"/>
      <c r="O113" s="278"/>
      <c r="P113" s="267"/>
    </row>
    <row r="114" spans="1:16" ht="15" customHeight="1" x14ac:dyDescent="0.25">
      <c r="A114" s="507"/>
      <c r="B114" s="530"/>
      <c r="C114" s="266" t="s">
        <v>207</v>
      </c>
      <c r="D114" s="86" t="s">
        <v>1155</v>
      </c>
      <c r="E114" s="279">
        <f>'Вспомогательная (Панели)'!D52</f>
        <v>99999999</v>
      </c>
      <c r="F114" s="279">
        <v>0</v>
      </c>
      <c r="G114" s="289"/>
      <c r="H114" s="289" t="s">
        <v>548</v>
      </c>
      <c r="I114" s="290"/>
      <c r="J114" s="40"/>
      <c r="K114" s="40"/>
      <c r="L114" s="40"/>
      <c r="O114" s="278">
        <v>8.77</v>
      </c>
      <c r="P114" s="267">
        <f>E114*O114</f>
        <v>876999991.2299999</v>
      </c>
    </row>
    <row r="115" spans="1:16" ht="15.75" customHeight="1" thickBot="1" x14ac:dyDescent="0.3">
      <c r="A115" s="507"/>
      <c r="B115" s="531"/>
      <c r="C115" s="299" t="s">
        <v>213</v>
      </c>
      <c r="D115" s="300" t="s">
        <v>1071</v>
      </c>
      <c r="E115" s="293"/>
      <c r="F115" s="293">
        <v>0</v>
      </c>
      <c r="G115" s="285"/>
      <c r="H115" s="285" t="s">
        <v>1072</v>
      </c>
      <c r="I115" s="286"/>
      <c r="J115" s="40">
        <v>1</v>
      </c>
      <c r="K115" s="40"/>
      <c r="L115" s="40"/>
      <c r="O115" s="278"/>
      <c r="P115" s="267"/>
    </row>
    <row r="116" spans="1:16" ht="15.75" customHeight="1" x14ac:dyDescent="0.25">
      <c r="A116" s="507"/>
      <c r="B116" s="530" t="s">
        <v>671</v>
      </c>
      <c r="C116" s="97" t="s">
        <v>207</v>
      </c>
      <c r="D116" s="86" t="s">
        <v>1050</v>
      </c>
      <c r="E116" s="208">
        <f>'Вспомогательная (Панели)'!D53</f>
        <v>99999999</v>
      </c>
      <c r="F116" s="279">
        <v>0</v>
      </c>
      <c r="G116" s="56"/>
      <c r="H116" s="56" t="s">
        <v>1051</v>
      </c>
      <c r="I116" s="57"/>
      <c r="J116" s="40"/>
      <c r="K116" s="40"/>
      <c r="L116" s="40"/>
      <c r="O116" s="278">
        <v>5.37</v>
      </c>
      <c r="P116" s="267">
        <f>O116*E116</f>
        <v>536999994.63</v>
      </c>
    </row>
    <row r="117" spans="1:16" ht="15.75" customHeight="1" thickBot="1" x14ac:dyDescent="0.3">
      <c r="A117" s="507"/>
      <c r="B117" s="532"/>
      <c r="C117" s="283" t="s">
        <v>215</v>
      </c>
      <c r="D117" s="300" t="s">
        <v>1052</v>
      </c>
      <c r="E117" s="284"/>
      <c r="F117" s="284">
        <v>0</v>
      </c>
      <c r="G117" s="285"/>
      <c r="H117" s="285" t="s">
        <v>1053</v>
      </c>
      <c r="I117" s="286"/>
      <c r="J117" s="40"/>
      <c r="K117" s="40"/>
      <c r="L117" s="40"/>
      <c r="O117" s="278"/>
      <c r="P117" s="267"/>
    </row>
    <row r="118" spans="1:16" ht="15.75" customHeight="1" x14ac:dyDescent="0.25">
      <c r="A118" s="507"/>
      <c r="B118" s="529" t="s">
        <v>1156</v>
      </c>
      <c r="C118" s="276" t="s">
        <v>215</v>
      </c>
      <c r="D118" s="111" t="s">
        <v>1054</v>
      </c>
      <c r="E118" s="306"/>
      <c r="F118" s="306">
        <v>0</v>
      </c>
      <c r="G118" s="287"/>
      <c r="H118" s="287" t="s">
        <v>1073</v>
      </c>
      <c r="I118" s="211"/>
      <c r="J118" s="40"/>
      <c r="K118" s="40"/>
      <c r="L118" s="40"/>
      <c r="O118" s="278"/>
      <c r="P118" s="267"/>
    </row>
    <row r="119" spans="1:16" ht="15.75" customHeight="1" thickBot="1" x14ac:dyDescent="0.3">
      <c r="A119" s="507"/>
      <c r="B119" s="533"/>
      <c r="C119" s="100" t="s">
        <v>205</v>
      </c>
      <c r="D119" s="308" t="s">
        <v>645</v>
      </c>
      <c r="E119" s="204">
        <f>'Вспомогательная (Панели)'!D54</f>
        <v>99999999</v>
      </c>
      <c r="F119" s="204">
        <v>0</v>
      </c>
      <c r="G119" s="60"/>
      <c r="H119" s="60" t="s">
        <v>1074</v>
      </c>
      <c r="I119" s="212"/>
      <c r="J119" s="40"/>
      <c r="K119" s="40"/>
      <c r="L119" s="40"/>
      <c r="O119" s="278">
        <v>19.399999999999999</v>
      </c>
      <c r="P119" s="267">
        <f>O119*E119</f>
        <v>1939999980.5999999</v>
      </c>
    </row>
    <row r="120" spans="1:16" ht="15" customHeight="1" x14ac:dyDescent="0.25">
      <c r="A120" s="553"/>
      <c r="B120" s="537" t="s">
        <v>833</v>
      </c>
      <c r="C120" s="310" t="s">
        <v>205</v>
      </c>
      <c r="D120" s="323" t="s">
        <v>1075</v>
      </c>
      <c r="E120" s="277">
        <f>'Вспомогательная (Панели)'!D56</f>
        <v>99999999</v>
      </c>
      <c r="F120" s="277">
        <v>0</v>
      </c>
      <c r="G120" s="287"/>
      <c r="H120" s="287" t="s">
        <v>1076</v>
      </c>
      <c r="I120" s="288"/>
      <c r="J120" s="40"/>
      <c r="K120" s="40"/>
      <c r="L120" s="40"/>
      <c r="O120" s="278">
        <v>18.28</v>
      </c>
      <c r="P120" s="267">
        <f>O120*E120</f>
        <v>1827999981.72</v>
      </c>
    </row>
    <row r="121" spans="1:16" ht="15.75" customHeight="1" x14ac:dyDescent="0.25">
      <c r="A121" s="553"/>
      <c r="B121" s="538"/>
      <c r="C121" s="265" t="s">
        <v>205</v>
      </c>
      <c r="D121" s="311" t="s">
        <v>1077</v>
      </c>
      <c r="E121" s="279">
        <f>'Вспомогательная (Панели)'!D57</f>
        <v>99999999</v>
      </c>
      <c r="F121" s="279">
        <v>0</v>
      </c>
      <c r="G121" s="289"/>
      <c r="H121" s="289" t="s">
        <v>1076</v>
      </c>
      <c r="I121" s="290"/>
      <c r="J121" s="40"/>
      <c r="K121" s="40"/>
      <c r="L121" s="40"/>
      <c r="O121" s="278"/>
      <c r="P121" s="267"/>
    </row>
    <row r="122" spans="1:16" ht="15.75" customHeight="1" thickBot="1" x14ac:dyDescent="0.3">
      <c r="A122" s="553"/>
      <c r="B122" s="539"/>
      <c r="C122" s="283" t="s">
        <v>215</v>
      </c>
      <c r="D122" s="308" t="s">
        <v>1078</v>
      </c>
      <c r="E122" s="284"/>
      <c r="F122" s="284">
        <v>0</v>
      </c>
      <c r="G122" s="285"/>
      <c r="H122" s="285" t="s">
        <v>1079</v>
      </c>
      <c r="I122" s="286"/>
      <c r="J122" s="40"/>
      <c r="K122" s="40"/>
      <c r="L122" s="40"/>
      <c r="O122" s="278"/>
      <c r="P122" s="267"/>
    </row>
    <row r="123" spans="1:16" ht="15.75" customHeight="1" x14ac:dyDescent="0.25">
      <c r="A123" s="553"/>
      <c r="B123" s="529" t="s">
        <v>1080</v>
      </c>
      <c r="C123" s="310" t="s">
        <v>205</v>
      </c>
      <c r="D123" s="323" t="s">
        <v>1081</v>
      </c>
      <c r="E123" s="277">
        <f>'Вспомогательная (Панели)'!D58</f>
        <v>99999999</v>
      </c>
      <c r="F123" s="277">
        <v>0</v>
      </c>
      <c r="G123" s="287"/>
      <c r="H123" s="101" t="s">
        <v>1082</v>
      </c>
      <c r="I123" s="119"/>
      <c r="J123" s="40"/>
      <c r="K123" s="40"/>
      <c r="L123" s="40"/>
      <c r="O123" s="278"/>
      <c r="P123" s="267"/>
    </row>
    <row r="124" spans="1:16" ht="15.75" customHeight="1" x14ac:dyDescent="0.25">
      <c r="A124" s="553"/>
      <c r="B124" s="530"/>
      <c r="C124" s="265" t="s">
        <v>205</v>
      </c>
      <c r="D124" s="311" t="s">
        <v>1083</v>
      </c>
      <c r="E124" s="279">
        <f>'Вспомогательная (Панели)'!D59</f>
        <v>99999999</v>
      </c>
      <c r="F124" s="279">
        <v>0</v>
      </c>
      <c r="G124" s="289"/>
      <c r="H124" s="289" t="s">
        <v>1082</v>
      </c>
      <c r="I124" s="290"/>
      <c r="J124" s="40"/>
      <c r="K124" s="40"/>
      <c r="L124" s="40"/>
      <c r="O124" s="278"/>
      <c r="P124" s="267"/>
    </row>
    <row r="125" spans="1:16" ht="15.75" customHeight="1" thickBot="1" x14ac:dyDescent="0.3">
      <c r="A125" s="553"/>
      <c r="B125" s="531"/>
      <c r="C125" s="283" t="s">
        <v>215</v>
      </c>
      <c r="D125" s="300" t="s">
        <v>1052</v>
      </c>
      <c r="E125" s="284"/>
      <c r="F125" s="284">
        <v>0</v>
      </c>
      <c r="G125" s="285"/>
      <c r="H125" s="285" t="s">
        <v>1084</v>
      </c>
      <c r="I125" s="163"/>
      <c r="J125" s="40"/>
      <c r="K125" s="40"/>
      <c r="L125" s="40"/>
      <c r="O125" s="278"/>
      <c r="P125" s="267"/>
    </row>
    <row r="126" spans="1:16" ht="15" customHeight="1" x14ac:dyDescent="0.25">
      <c r="A126" s="507"/>
      <c r="B126" s="530" t="s">
        <v>662</v>
      </c>
      <c r="C126" s="171" t="s">
        <v>213</v>
      </c>
      <c r="D126" s="282" t="s">
        <v>1057</v>
      </c>
      <c r="E126" s="208"/>
      <c r="F126" s="208">
        <v>0</v>
      </c>
      <c r="G126" s="56"/>
      <c r="H126" s="56" t="s">
        <v>663</v>
      </c>
      <c r="I126" s="57"/>
      <c r="J126" s="40">
        <v>1</v>
      </c>
      <c r="K126" s="40"/>
      <c r="L126" s="40"/>
      <c r="O126" s="278"/>
      <c r="P126" s="267"/>
    </row>
    <row r="127" spans="1:16" ht="15" customHeight="1" x14ac:dyDescent="0.25">
      <c r="A127" s="507"/>
      <c r="B127" s="533"/>
      <c r="C127" s="269" t="s">
        <v>215</v>
      </c>
      <c r="D127" s="280" t="s">
        <v>1010</v>
      </c>
      <c r="E127" s="297"/>
      <c r="F127" s="297">
        <v>0</v>
      </c>
      <c r="G127" s="289"/>
      <c r="H127" s="289" t="s">
        <v>1085</v>
      </c>
      <c r="I127" s="290"/>
      <c r="J127" s="40"/>
      <c r="K127" s="40"/>
      <c r="L127" s="40"/>
      <c r="O127" s="278"/>
      <c r="P127" s="267"/>
    </row>
    <row r="128" spans="1:16" ht="15" customHeight="1" thickBot="1" x14ac:dyDescent="0.3">
      <c r="A128" s="507"/>
      <c r="B128" s="533"/>
      <c r="C128" s="270" t="s">
        <v>220</v>
      </c>
      <c r="D128" s="280" t="s">
        <v>542</v>
      </c>
      <c r="E128" s="297"/>
      <c r="F128" s="297">
        <v>0</v>
      </c>
      <c r="G128" s="289"/>
      <c r="H128" s="289" t="s">
        <v>1085</v>
      </c>
      <c r="I128" s="290"/>
      <c r="J128" s="40"/>
      <c r="K128" s="40"/>
      <c r="L128" s="40"/>
      <c r="O128" s="278"/>
      <c r="P128" s="267"/>
    </row>
    <row r="129" spans="1:16" ht="15" customHeight="1" x14ac:dyDescent="0.25">
      <c r="A129" s="558" t="s">
        <v>1086</v>
      </c>
      <c r="B129" s="529" t="s">
        <v>1086</v>
      </c>
      <c r="C129" s="324" t="s">
        <v>221</v>
      </c>
      <c r="D129" s="315" t="s">
        <v>1087</v>
      </c>
      <c r="E129" s="325"/>
      <c r="F129" s="325">
        <v>0</v>
      </c>
      <c r="G129" s="287"/>
      <c r="H129" s="287">
        <v>1</v>
      </c>
      <c r="I129" s="288"/>
      <c r="J129" s="40"/>
      <c r="K129" s="40"/>
      <c r="L129" s="40"/>
      <c r="O129" s="278"/>
      <c r="P129" s="267"/>
    </row>
    <row r="130" spans="1:16" ht="15" customHeight="1" x14ac:dyDescent="0.25">
      <c r="A130" s="553"/>
      <c r="B130" s="533"/>
      <c r="C130" s="273" t="s">
        <v>221</v>
      </c>
      <c r="D130" s="295" t="s">
        <v>1088</v>
      </c>
      <c r="E130" s="279"/>
      <c r="F130" s="279">
        <v>0</v>
      </c>
      <c r="G130" s="289"/>
      <c r="H130" s="326" t="s">
        <v>1089</v>
      </c>
      <c r="I130" s="290"/>
      <c r="L130" s="40"/>
      <c r="O130" s="278"/>
      <c r="P130" s="267"/>
    </row>
    <row r="131" spans="1:16" ht="15" customHeight="1" x14ac:dyDescent="0.25">
      <c r="A131" s="553"/>
      <c r="B131" s="533"/>
      <c r="C131" s="327" t="s">
        <v>314</v>
      </c>
      <c r="D131" s="328" t="s">
        <v>315</v>
      </c>
      <c r="E131" s="297"/>
      <c r="F131" s="329">
        <v>0</v>
      </c>
      <c r="G131" s="289"/>
      <c r="H131" s="280" t="s">
        <v>764</v>
      </c>
      <c r="I131" s="330"/>
      <c r="K131" s="40"/>
      <c r="O131" s="278"/>
      <c r="P131" s="267"/>
    </row>
    <row r="132" spans="1:16" ht="15" customHeight="1" x14ac:dyDescent="0.25">
      <c r="A132" s="553"/>
      <c r="B132" s="533"/>
      <c r="C132" s="327" t="s">
        <v>314</v>
      </c>
      <c r="D132" s="295" t="s">
        <v>153</v>
      </c>
      <c r="E132" s="297"/>
      <c r="F132" s="329">
        <v>0</v>
      </c>
      <c r="G132" s="289"/>
      <c r="H132" s="289" t="s">
        <v>768</v>
      </c>
      <c r="I132" s="330"/>
      <c r="J132" s="40">
        <v>1</v>
      </c>
      <c r="O132" s="278"/>
      <c r="P132" s="267"/>
    </row>
    <row r="133" spans="1:16" ht="15" customHeight="1" x14ac:dyDescent="0.25">
      <c r="A133" s="553"/>
      <c r="B133" s="533"/>
      <c r="C133" s="327" t="s">
        <v>314</v>
      </c>
      <c r="D133" s="295" t="s">
        <v>154</v>
      </c>
      <c r="E133" s="297"/>
      <c r="F133" s="329">
        <v>0</v>
      </c>
      <c r="G133" s="289"/>
      <c r="H133" s="289" t="s">
        <v>770</v>
      </c>
      <c r="I133" s="330"/>
      <c r="J133" s="40">
        <v>1</v>
      </c>
      <c r="O133" s="278"/>
      <c r="P133" s="267"/>
    </row>
    <row r="134" spans="1:16" ht="15.75" customHeight="1" x14ac:dyDescent="0.25">
      <c r="A134" s="553"/>
      <c r="B134" s="533"/>
      <c r="C134" s="268" t="s">
        <v>213</v>
      </c>
      <c r="D134" s="295" t="s">
        <v>1090</v>
      </c>
      <c r="E134" s="297"/>
      <c r="F134" s="297">
        <v>0</v>
      </c>
      <c r="G134" s="289"/>
      <c r="H134" s="289"/>
      <c r="I134" s="290">
        <f>ROUNDUP([1]Проёмы!C20,0)</f>
        <v>188</v>
      </c>
      <c r="J134" s="264">
        <v>1</v>
      </c>
      <c r="L134" s="40"/>
      <c r="O134" s="278"/>
      <c r="P134" s="267"/>
    </row>
    <row r="135" spans="1:16" ht="15.75" customHeight="1" x14ac:dyDescent="0.25">
      <c r="A135" s="553"/>
      <c r="B135" s="533"/>
      <c r="C135" s="269" t="s">
        <v>215</v>
      </c>
      <c r="D135" s="295" t="s">
        <v>1010</v>
      </c>
      <c r="E135" s="297"/>
      <c r="F135" s="297">
        <v>0</v>
      </c>
      <c r="G135" s="289"/>
      <c r="H135" s="289"/>
      <c r="I135" s="290"/>
      <c r="J135" s="40"/>
      <c r="K135" s="40"/>
      <c r="L135" s="40"/>
      <c r="O135" s="278"/>
      <c r="P135" s="267"/>
    </row>
    <row r="136" spans="1:16" ht="15" customHeight="1" x14ac:dyDescent="0.25">
      <c r="A136" s="553"/>
      <c r="B136" s="533"/>
      <c r="C136" s="265" t="s">
        <v>205</v>
      </c>
      <c r="D136" s="89" t="s">
        <v>1091</v>
      </c>
      <c r="E136" s="279">
        <f>'Вспомогательная (Панели)'!D60</f>
        <v>99999999</v>
      </c>
      <c r="F136" s="279">
        <v>0</v>
      </c>
      <c r="G136" s="289"/>
      <c r="H136" s="289"/>
      <c r="I136" s="290"/>
      <c r="J136" s="40"/>
      <c r="K136" s="40"/>
      <c r="L136" s="40"/>
      <c r="O136" s="278"/>
      <c r="P136" s="267"/>
    </row>
    <row r="137" spans="1:16" ht="15" customHeight="1" x14ac:dyDescent="0.25">
      <c r="A137" s="553"/>
      <c r="B137" s="533"/>
      <c r="C137" s="269" t="s">
        <v>215</v>
      </c>
      <c r="D137" s="295" t="s">
        <v>1054</v>
      </c>
      <c r="E137" s="297"/>
      <c r="F137" s="297">
        <v>0</v>
      </c>
      <c r="G137" s="289"/>
      <c r="H137" s="289" t="s">
        <v>637</v>
      </c>
      <c r="I137" s="290"/>
      <c r="J137" s="40"/>
      <c r="K137" s="40"/>
      <c r="L137" s="40"/>
      <c r="O137" s="278"/>
      <c r="P137" s="267"/>
    </row>
    <row r="138" spans="1:16" ht="15" customHeight="1" x14ac:dyDescent="0.25">
      <c r="A138" s="553"/>
      <c r="B138" s="533"/>
      <c r="C138" s="266" t="s">
        <v>207</v>
      </c>
      <c r="D138" s="280" t="s">
        <v>672</v>
      </c>
      <c r="E138" s="279">
        <f>'Вспомогательная (Панели)'!D61</f>
        <v>99999999</v>
      </c>
      <c r="F138" s="279">
        <v>0</v>
      </c>
      <c r="G138" s="289"/>
      <c r="H138" s="289" t="s">
        <v>1157</v>
      </c>
      <c r="I138" s="290"/>
      <c r="J138" s="40"/>
      <c r="K138" s="40"/>
      <c r="O138" s="278"/>
      <c r="P138" s="267"/>
    </row>
    <row r="139" spans="1:16" ht="15" customHeight="1" x14ac:dyDescent="0.25">
      <c r="A139" s="553"/>
      <c r="B139" s="533"/>
      <c r="C139" s="266" t="s">
        <v>207</v>
      </c>
      <c r="D139" s="280" t="s">
        <v>688</v>
      </c>
      <c r="E139" s="279">
        <f>'Вспомогательная (Панели)'!D62</f>
        <v>99999999</v>
      </c>
      <c r="F139" s="279">
        <v>0</v>
      </c>
      <c r="G139" s="289"/>
      <c r="H139" s="289" t="s">
        <v>1157</v>
      </c>
      <c r="I139" s="290"/>
      <c r="J139" s="40"/>
      <c r="K139" s="40"/>
      <c r="O139" s="278"/>
      <c r="P139" s="267"/>
    </row>
    <row r="140" spans="1:16" ht="15.75" customHeight="1" x14ac:dyDescent="0.25">
      <c r="A140" s="553"/>
      <c r="B140" s="533"/>
      <c r="C140" s="266" t="s">
        <v>207</v>
      </c>
      <c r="D140" s="295" t="s">
        <v>1092</v>
      </c>
      <c r="E140" s="297">
        <f>'Вспомогательная (Панели)'!D63</f>
        <v>99999999</v>
      </c>
      <c r="F140" s="297">
        <v>0</v>
      </c>
      <c r="G140" s="289"/>
      <c r="H140" s="289" t="s">
        <v>1093</v>
      </c>
      <c r="I140" s="290"/>
      <c r="J140" s="40"/>
      <c r="K140" s="40"/>
      <c r="L140" s="40"/>
      <c r="O140" s="278"/>
      <c r="P140" s="267"/>
    </row>
    <row r="141" spans="1:16" ht="15.75" customHeight="1" x14ac:dyDescent="0.25">
      <c r="A141" s="553"/>
      <c r="B141" s="533"/>
      <c r="C141" s="269" t="s">
        <v>215</v>
      </c>
      <c r="D141" s="295" t="s">
        <v>1044</v>
      </c>
      <c r="E141" s="297"/>
      <c r="F141" s="297">
        <v>0</v>
      </c>
      <c r="G141" s="289"/>
      <c r="H141" s="289" t="s">
        <v>1094</v>
      </c>
      <c r="I141" s="73"/>
      <c r="J141" s="40"/>
      <c r="K141" s="40"/>
      <c r="L141" s="40"/>
      <c r="O141" s="278"/>
      <c r="P141" s="267"/>
    </row>
    <row r="142" spans="1:16" ht="15.75" customHeight="1" thickBot="1" x14ac:dyDescent="0.3">
      <c r="A142" s="557"/>
      <c r="B142" s="532"/>
      <c r="C142" s="213" t="s">
        <v>213</v>
      </c>
      <c r="D142" s="136" t="s">
        <v>1059</v>
      </c>
      <c r="E142" s="209"/>
      <c r="F142" s="209">
        <v>0</v>
      </c>
      <c r="G142" s="126"/>
      <c r="H142" s="126" t="s">
        <v>1095</v>
      </c>
      <c r="I142" s="286"/>
      <c r="J142" s="40"/>
      <c r="K142" s="40"/>
      <c r="L142" s="40"/>
      <c r="O142" s="278"/>
      <c r="P142" s="267"/>
    </row>
    <row r="143" spans="1:16" ht="15" customHeight="1" x14ac:dyDescent="0.25">
      <c r="A143" s="559" t="s">
        <v>1158</v>
      </c>
      <c r="B143" s="529" t="s">
        <v>671</v>
      </c>
      <c r="C143" s="281" t="s">
        <v>207</v>
      </c>
      <c r="D143" s="287" t="s">
        <v>1096</v>
      </c>
      <c r="E143" s="277">
        <f>'Вспомогательная (Панели)'!D64</f>
        <v>99999999</v>
      </c>
      <c r="F143" s="277">
        <v>0</v>
      </c>
      <c r="G143" s="287"/>
      <c r="H143" s="287" t="s">
        <v>1159</v>
      </c>
      <c r="I143" s="288"/>
      <c r="J143" s="40"/>
      <c r="K143" s="40"/>
      <c r="L143" s="40"/>
      <c r="O143" s="278">
        <v>5.37</v>
      </c>
      <c r="P143" s="267">
        <f>O143*E143</f>
        <v>536999994.63</v>
      </c>
    </row>
    <row r="144" spans="1:16" ht="15" customHeight="1" thickBot="1" x14ac:dyDescent="0.3">
      <c r="A144" s="553"/>
      <c r="B144" s="533"/>
      <c r="C144" s="269" t="s">
        <v>215</v>
      </c>
      <c r="D144" s="289" t="s">
        <v>1097</v>
      </c>
      <c r="E144" s="297"/>
      <c r="F144" s="297">
        <v>0</v>
      </c>
      <c r="G144" s="289"/>
      <c r="H144" s="289" t="s">
        <v>1098</v>
      </c>
      <c r="I144" s="290"/>
      <c r="J144" s="40"/>
      <c r="K144" s="40"/>
      <c r="L144" s="40"/>
      <c r="O144" s="278"/>
      <c r="P144" s="267"/>
    </row>
    <row r="145" spans="1:27" ht="15" customHeight="1" x14ac:dyDescent="0.25">
      <c r="A145" s="553"/>
      <c r="B145" s="529" t="s">
        <v>617</v>
      </c>
      <c r="C145" s="281" t="s">
        <v>207</v>
      </c>
      <c r="D145" s="287" t="s">
        <v>1099</v>
      </c>
      <c r="E145" s="277">
        <f>'Вспомогательная (Панели)'!D65</f>
        <v>99999999</v>
      </c>
      <c r="F145" s="277">
        <v>0</v>
      </c>
      <c r="G145" s="287"/>
      <c r="H145" s="287" t="s">
        <v>1159</v>
      </c>
      <c r="I145" s="288"/>
      <c r="J145" s="40"/>
      <c r="K145" s="40"/>
      <c r="L145" s="40"/>
      <c r="O145" s="278">
        <v>1.79</v>
      </c>
      <c r="P145" s="267">
        <f>O145*E145</f>
        <v>178999998.21000001</v>
      </c>
    </row>
    <row r="146" spans="1:27" ht="15" customHeight="1" x14ac:dyDescent="0.25">
      <c r="A146" s="553"/>
      <c r="B146" s="533"/>
      <c r="C146" s="269" t="s">
        <v>215</v>
      </c>
      <c r="D146" s="289" t="s">
        <v>1100</v>
      </c>
      <c r="E146" s="297"/>
      <c r="F146" s="297">
        <v>0</v>
      </c>
      <c r="G146" s="289"/>
      <c r="H146" s="289" t="s">
        <v>1098</v>
      </c>
      <c r="I146" s="290"/>
      <c r="J146" s="40"/>
      <c r="K146" s="40"/>
      <c r="L146" s="40"/>
      <c r="O146" s="278"/>
      <c r="P146" s="267"/>
    </row>
    <row r="147" spans="1:27" ht="15.75" customHeight="1" thickBot="1" x14ac:dyDescent="0.3">
      <c r="A147" s="553"/>
      <c r="B147" s="533"/>
      <c r="C147" s="166" t="s">
        <v>207</v>
      </c>
      <c r="D147" s="86" t="s">
        <v>1155</v>
      </c>
      <c r="E147" s="204">
        <f>'Вспомогательная (Панели)'!D66</f>
        <v>99999999</v>
      </c>
      <c r="F147" s="204">
        <v>0</v>
      </c>
      <c r="G147" s="60"/>
      <c r="H147" s="80" t="s">
        <v>891</v>
      </c>
      <c r="I147" s="73"/>
      <c r="J147" s="40"/>
      <c r="K147" s="40"/>
      <c r="L147" s="40"/>
      <c r="O147" s="278">
        <v>8.77</v>
      </c>
      <c r="P147" s="267">
        <f>O147*E147</f>
        <v>876999991.2299999</v>
      </c>
    </row>
    <row r="148" spans="1:27" ht="15.75" customHeight="1" x14ac:dyDescent="0.25">
      <c r="A148" s="553"/>
      <c r="B148" s="529" t="s">
        <v>1101</v>
      </c>
      <c r="C148" s="281" t="s">
        <v>207</v>
      </c>
      <c r="D148" s="282" t="s">
        <v>1021</v>
      </c>
      <c r="E148" s="277">
        <f>'Вспомогательная (Панели)'!D67</f>
        <v>99999999</v>
      </c>
      <c r="F148" s="277">
        <v>0</v>
      </c>
      <c r="G148" s="287"/>
      <c r="H148" s="287" t="s">
        <v>1102</v>
      </c>
      <c r="I148" s="288"/>
      <c r="J148" s="40"/>
      <c r="K148" s="40"/>
      <c r="L148" s="40"/>
      <c r="M148" s="40"/>
      <c r="N148" s="40"/>
      <c r="O148" s="278"/>
      <c r="P148" s="267"/>
      <c r="Q148" s="40"/>
      <c r="R148" s="40"/>
      <c r="S148" s="40"/>
      <c r="T148" s="40"/>
      <c r="U148" s="40"/>
      <c r="V148" s="40"/>
      <c r="Y148" s="40"/>
      <c r="Z148" s="40"/>
      <c r="AA148" s="40"/>
    </row>
    <row r="149" spans="1:27" ht="15.75" customHeight="1" x14ac:dyDescent="0.25">
      <c r="A149" s="553"/>
      <c r="B149" s="533"/>
      <c r="C149" s="266" t="s">
        <v>207</v>
      </c>
      <c r="D149" s="280" t="s">
        <v>1103</v>
      </c>
      <c r="E149" s="279">
        <f>'Вспомогательная (Панели)'!D68</f>
        <v>99999999</v>
      </c>
      <c r="F149" s="279">
        <v>0</v>
      </c>
      <c r="G149" s="289"/>
      <c r="H149" s="289" t="s">
        <v>1104</v>
      </c>
      <c r="I149" s="290"/>
      <c r="J149" s="40"/>
      <c r="K149" s="40"/>
      <c r="L149" s="40"/>
      <c r="O149" s="278">
        <v>6.0750000000000002</v>
      </c>
      <c r="P149" s="267">
        <f>O149*E149</f>
        <v>607499993.92500007</v>
      </c>
    </row>
    <row r="150" spans="1:27" ht="15.75" customHeight="1" thickBot="1" x14ac:dyDescent="0.3">
      <c r="A150" s="553"/>
      <c r="B150" s="532"/>
      <c r="C150" s="283" t="s">
        <v>215</v>
      </c>
      <c r="D150" s="292" t="s">
        <v>745</v>
      </c>
      <c r="E150" s="284"/>
      <c r="F150" s="284">
        <v>0</v>
      </c>
      <c r="G150" s="285"/>
      <c r="H150" s="285" t="s">
        <v>1105</v>
      </c>
      <c r="I150" s="286"/>
      <c r="J150" s="40"/>
      <c r="K150" s="40"/>
      <c r="L150" s="40"/>
      <c r="O150" s="278"/>
      <c r="P150" s="267"/>
    </row>
    <row r="151" spans="1:27" ht="15" customHeight="1" x14ac:dyDescent="0.25">
      <c r="A151" s="553"/>
      <c r="B151" s="530" t="s">
        <v>849</v>
      </c>
      <c r="C151" s="171" t="s">
        <v>213</v>
      </c>
      <c r="D151" s="106" t="s">
        <v>850</v>
      </c>
      <c r="E151" s="208"/>
      <c r="F151" s="208">
        <v>0</v>
      </c>
      <c r="G151" s="56"/>
      <c r="H151" s="56" t="s">
        <v>1106</v>
      </c>
      <c r="I151" s="57"/>
      <c r="J151" s="40"/>
      <c r="K151" s="40"/>
      <c r="L151" s="40"/>
      <c r="O151" s="278"/>
      <c r="P151" s="267"/>
    </row>
    <row r="152" spans="1:27" ht="15" customHeight="1" thickBot="1" x14ac:dyDescent="0.3">
      <c r="A152" s="553"/>
      <c r="B152" s="533"/>
      <c r="C152" s="269" t="s">
        <v>215</v>
      </c>
      <c r="D152" s="280" t="s">
        <v>1010</v>
      </c>
      <c r="E152" s="297"/>
      <c r="F152" s="297">
        <v>0</v>
      </c>
      <c r="G152" s="289"/>
      <c r="H152" s="289" t="s">
        <v>900</v>
      </c>
      <c r="I152" s="290"/>
      <c r="J152" s="40"/>
      <c r="K152" s="40"/>
      <c r="L152" s="40"/>
      <c r="O152" s="278"/>
      <c r="P152" s="267"/>
    </row>
    <row r="153" spans="1:27" ht="15.75" customHeight="1" x14ac:dyDescent="0.25">
      <c r="A153" s="553"/>
      <c r="B153" s="529" t="s">
        <v>874</v>
      </c>
      <c r="C153" s="298" t="s">
        <v>213</v>
      </c>
      <c r="D153" s="282" t="s">
        <v>1038</v>
      </c>
      <c r="E153" s="277"/>
      <c r="F153" s="277">
        <v>0</v>
      </c>
      <c r="G153" s="287"/>
      <c r="H153" s="287" t="s">
        <v>1107</v>
      </c>
      <c r="I153" s="288"/>
      <c r="J153" s="40">
        <v>1</v>
      </c>
      <c r="K153" s="40"/>
      <c r="L153" s="40"/>
      <c r="O153" s="278"/>
      <c r="P153" s="267"/>
    </row>
    <row r="154" spans="1:27" ht="15" customHeight="1" x14ac:dyDescent="0.25">
      <c r="A154" s="553"/>
      <c r="B154" s="533"/>
      <c r="C154" s="268" t="s">
        <v>213</v>
      </c>
      <c r="D154" s="295" t="s">
        <v>1108</v>
      </c>
      <c r="E154" s="279"/>
      <c r="F154" s="279">
        <v>0</v>
      </c>
      <c r="G154" s="289"/>
      <c r="H154" s="289" t="s">
        <v>904</v>
      </c>
      <c r="I154" s="290"/>
      <c r="J154" s="40"/>
      <c r="K154" s="40"/>
      <c r="L154" s="40"/>
      <c r="O154" s="278"/>
      <c r="P154" s="267"/>
    </row>
    <row r="155" spans="1:27" ht="15.75" customHeight="1" thickBot="1" x14ac:dyDescent="0.3">
      <c r="A155" s="553"/>
      <c r="B155" s="532"/>
      <c r="C155" s="283" t="s">
        <v>215</v>
      </c>
      <c r="D155" s="292" t="s">
        <v>1010</v>
      </c>
      <c r="E155" s="284"/>
      <c r="F155" s="284">
        <v>0</v>
      </c>
      <c r="G155" s="285"/>
      <c r="H155" s="285" t="s">
        <v>1109</v>
      </c>
      <c r="I155" s="286"/>
      <c r="J155" s="40"/>
      <c r="K155" s="40"/>
      <c r="L155" s="40"/>
      <c r="O155" s="278"/>
      <c r="P155" s="267"/>
    </row>
    <row r="156" spans="1:27" ht="15.75" customHeight="1" x14ac:dyDescent="0.25">
      <c r="A156" s="553"/>
      <c r="B156" s="530" t="s">
        <v>821</v>
      </c>
      <c r="C156" s="132" t="s">
        <v>220</v>
      </c>
      <c r="D156" s="184" t="s">
        <v>524</v>
      </c>
      <c r="E156" s="214"/>
      <c r="F156" s="208">
        <v>0</v>
      </c>
      <c r="G156" s="56"/>
      <c r="H156" s="56" t="s">
        <v>1110</v>
      </c>
      <c r="I156" s="56" t="s">
        <v>823</v>
      </c>
      <c r="J156" s="40"/>
      <c r="K156" s="40"/>
      <c r="O156" s="278"/>
      <c r="P156" s="267"/>
    </row>
    <row r="157" spans="1:27" ht="15.75" customHeight="1" x14ac:dyDescent="0.25">
      <c r="A157" s="553"/>
      <c r="B157" s="533"/>
      <c r="C157" s="270" t="s">
        <v>220</v>
      </c>
      <c r="D157" s="304" t="s">
        <v>526</v>
      </c>
      <c r="E157" s="318"/>
      <c r="F157" s="279">
        <v>0</v>
      </c>
      <c r="G157" s="289"/>
      <c r="H157" s="56" t="s">
        <v>1110</v>
      </c>
      <c r="I157" s="289" t="s">
        <v>527</v>
      </c>
      <c r="J157" s="40"/>
      <c r="K157" s="40"/>
      <c r="O157" s="278"/>
      <c r="P157" s="267"/>
    </row>
    <row r="158" spans="1:27" ht="15" customHeight="1" x14ac:dyDescent="0.25">
      <c r="A158" s="553"/>
      <c r="B158" s="533"/>
      <c r="C158" s="270" t="s">
        <v>220</v>
      </c>
      <c r="D158" s="304" t="s">
        <v>528</v>
      </c>
      <c r="E158" s="318"/>
      <c r="F158" s="279">
        <v>0</v>
      </c>
      <c r="G158" s="289"/>
      <c r="H158" s="56" t="s">
        <v>1110</v>
      </c>
      <c r="I158" s="290"/>
      <c r="J158" s="40"/>
      <c r="K158" s="40"/>
      <c r="O158" s="278"/>
      <c r="P158" s="267"/>
    </row>
    <row r="159" spans="1:27" ht="15" customHeight="1" x14ac:dyDescent="0.25">
      <c r="A159" s="553"/>
      <c r="B159" s="533"/>
      <c r="C159" s="270" t="s">
        <v>220</v>
      </c>
      <c r="D159" s="304" t="s">
        <v>529</v>
      </c>
      <c r="E159" s="318"/>
      <c r="F159" s="279">
        <v>0</v>
      </c>
      <c r="G159" s="289"/>
      <c r="H159" s="56" t="s">
        <v>1110</v>
      </c>
      <c r="I159" s="290"/>
      <c r="J159" s="40"/>
      <c r="K159" s="40"/>
      <c r="O159" s="278"/>
      <c r="P159" s="267"/>
    </row>
    <row r="160" spans="1:27" ht="15" customHeight="1" x14ac:dyDescent="0.25">
      <c r="A160" s="553"/>
      <c r="B160" s="533"/>
      <c r="C160" s="270" t="s">
        <v>220</v>
      </c>
      <c r="D160" s="319" t="s">
        <v>530</v>
      </c>
      <c r="E160" s="318"/>
      <c r="F160" s="279">
        <v>0</v>
      </c>
      <c r="G160" s="289"/>
      <c r="H160" s="56" t="s">
        <v>1110</v>
      </c>
      <c r="I160" s="290"/>
      <c r="J160" s="40"/>
      <c r="K160" s="40"/>
      <c r="O160" s="278"/>
      <c r="P160" s="267"/>
    </row>
    <row r="161" spans="1:27" ht="15" customHeight="1" thickBot="1" x14ac:dyDescent="0.3">
      <c r="A161" s="553"/>
      <c r="B161" s="533"/>
      <c r="C161" s="270" t="s">
        <v>220</v>
      </c>
      <c r="D161" s="319" t="s">
        <v>531</v>
      </c>
      <c r="E161" s="318"/>
      <c r="F161" s="279">
        <v>0</v>
      </c>
      <c r="G161" s="289"/>
      <c r="H161" s="56" t="s">
        <v>1110</v>
      </c>
      <c r="I161" s="290"/>
      <c r="J161" s="40"/>
      <c r="K161" s="40"/>
      <c r="O161" s="278"/>
      <c r="P161" s="267"/>
    </row>
    <row r="162" spans="1:27" ht="15" customHeight="1" x14ac:dyDescent="0.25">
      <c r="A162" s="553"/>
      <c r="B162" s="529" t="s">
        <v>613</v>
      </c>
      <c r="C162" s="281" t="s">
        <v>207</v>
      </c>
      <c r="D162" s="323" t="s">
        <v>616</v>
      </c>
      <c r="E162" s="277">
        <f>'Вспомогательная (Панели)'!D69</f>
        <v>99999999</v>
      </c>
      <c r="F162" s="277">
        <v>0</v>
      </c>
      <c r="G162" s="287"/>
      <c r="H162" s="287" t="s">
        <v>971</v>
      </c>
      <c r="I162" s="288"/>
      <c r="J162" s="188"/>
      <c r="K162" s="40"/>
      <c r="L162" s="40"/>
      <c r="O162" s="278">
        <v>11.65</v>
      </c>
      <c r="P162" s="267">
        <f>O162*E162</f>
        <v>1164999988.3500001</v>
      </c>
    </row>
    <row r="163" spans="1:27" ht="15" customHeight="1" x14ac:dyDescent="0.25">
      <c r="A163" s="553"/>
      <c r="B163" s="533"/>
      <c r="C163" s="266" t="s">
        <v>207</v>
      </c>
      <c r="D163" s="311" t="s">
        <v>981</v>
      </c>
      <c r="E163" s="279">
        <f>'Вспомогательная (Панели)'!D70</f>
        <v>99999999</v>
      </c>
      <c r="F163" s="279">
        <v>0</v>
      </c>
      <c r="G163" s="289"/>
      <c r="H163" s="289" t="s">
        <v>971</v>
      </c>
      <c r="I163" s="290"/>
      <c r="J163" s="188"/>
      <c r="K163" s="40"/>
      <c r="L163" s="40"/>
      <c r="O163" s="278">
        <v>6.48</v>
      </c>
      <c r="P163" s="267">
        <f>O163*E163</f>
        <v>647999993.5200001</v>
      </c>
    </row>
    <row r="164" spans="1:27" ht="15.75" customHeight="1" thickBot="1" x14ac:dyDescent="0.3">
      <c r="A164" s="553"/>
      <c r="B164" s="532"/>
      <c r="C164" s="283" t="s">
        <v>215</v>
      </c>
      <c r="D164" s="331" t="s">
        <v>982</v>
      </c>
      <c r="E164" s="284"/>
      <c r="F164" s="284">
        <v>0</v>
      </c>
      <c r="G164" s="285"/>
      <c r="H164" s="285" t="s">
        <v>985</v>
      </c>
      <c r="I164" s="286"/>
      <c r="J164" s="188"/>
      <c r="K164" s="40"/>
      <c r="L164" s="40"/>
      <c r="O164" s="278"/>
      <c r="P164" s="267"/>
    </row>
    <row r="165" spans="1:27" ht="15" customHeight="1" x14ac:dyDescent="0.25">
      <c r="A165" s="553"/>
      <c r="B165" s="529" t="s">
        <v>998</v>
      </c>
      <c r="C165" s="281" t="s">
        <v>207</v>
      </c>
      <c r="D165" s="323" t="s">
        <v>999</v>
      </c>
      <c r="E165" s="277">
        <f>'Вспомогательная (Панели)'!D71</f>
        <v>99999999</v>
      </c>
      <c r="F165" s="277">
        <v>0</v>
      </c>
      <c r="G165" s="287"/>
      <c r="H165" s="287" t="s">
        <v>971</v>
      </c>
      <c r="I165" s="288"/>
      <c r="J165" s="188"/>
      <c r="K165" s="40"/>
      <c r="L165" s="40"/>
      <c r="O165" s="278">
        <v>3.37</v>
      </c>
      <c r="P165" s="267">
        <f>O165*E165</f>
        <v>336999996.63</v>
      </c>
    </row>
    <row r="166" spans="1:27" ht="15" customHeight="1" thickBot="1" x14ac:dyDescent="0.3">
      <c r="A166" s="553"/>
      <c r="B166" s="532"/>
      <c r="C166" s="283" t="s">
        <v>215</v>
      </c>
      <c r="D166" s="331" t="s">
        <v>982</v>
      </c>
      <c r="E166" s="284"/>
      <c r="F166" s="284">
        <v>0</v>
      </c>
      <c r="G166" s="285"/>
      <c r="H166" s="285" t="s">
        <v>985</v>
      </c>
      <c r="I166" s="286"/>
      <c r="J166" s="188"/>
      <c r="K166" s="40"/>
      <c r="L166" s="40"/>
      <c r="O166" s="278"/>
      <c r="P166" s="267"/>
    </row>
    <row r="167" spans="1:27" ht="15.75" customHeight="1" x14ac:dyDescent="0.25">
      <c r="A167" s="554" t="s">
        <v>1111</v>
      </c>
      <c r="B167" s="555" t="s">
        <v>1112</v>
      </c>
      <c r="C167" s="172" t="s">
        <v>207</v>
      </c>
      <c r="D167" s="80" t="s">
        <v>733</v>
      </c>
      <c r="E167" s="207">
        <f>'Вспомогательная (Панели)'!D72</f>
        <v>99999999</v>
      </c>
      <c r="F167" s="208">
        <v>0</v>
      </c>
      <c r="G167" s="80"/>
      <c r="H167" s="56" t="s">
        <v>734</v>
      </c>
      <c r="I167" s="121" t="s">
        <v>735</v>
      </c>
      <c r="J167" s="40"/>
      <c r="K167" s="40"/>
      <c r="L167" s="40"/>
    </row>
    <row r="168" spans="1:27" ht="15.75" customHeight="1" x14ac:dyDescent="0.25">
      <c r="A168" s="507"/>
      <c r="B168" s="533"/>
      <c r="C168" s="266" t="s">
        <v>207</v>
      </c>
      <c r="D168" s="289" t="s">
        <v>680</v>
      </c>
      <c r="E168" s="279">
        <f>'Вспомогательная (Панели)'!D73</f>
        <v>99999999</v>
      </c>
      <c r="F168" s="279">
        <v>0</v>
      </c>
      <c r="G168" s="289"/>
      <c r="H168" s="289" t="s">
        <v>736</v>
      </c>
      <c r="I168" s="290" t="s">
        <v>735</v>
      </c>
      <c r="J168" s="40"/>
      <c r="K168" s="40"/>
      <c r="L168" s="40"/>
    </row>
    <row r="169" spans="1:27" ht="15.75" customHeight="1" x14ac:dyDescent="0.25">
      <c r="A169" s="507"/>
      <c r="B169" s="533"/>
      <c r="C169" s="266" t="s">
        <v>207</v>
      </c>
      <c r="D169" s="289" t="s">
        <v>1113</v>
      </c>
      <c r="E169" s="279">
        <f>'Вспомогательная (Панели)'!D74</f>
        <v>99999999</v>
      </c>
      <c r="F169" s="279">
        <v>0</v>
      </c>
      <c r="G169" s="289"/>
      <c r="H169" s="289" t="s">
        <v>1114</v>
      </c>
      <c r="I169" s="29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</row>
    <row r="170" spans="1:27" ht="15.75" customHeight="1" x14ac:dyDescent="0.25">
      <c r="A170" s="507"/>
      <c r="B170" s="533"/>
      <c r="C170" s="266" t="s">
        <v>207</v>
      </c>
      <c r="D170" s="289" t="s">
        <v>140</v>
      </c>
      <c r="E170" s="279">
        <f>'Вспомогательная (Панели)'!D75</f>
        <v>99999999</v>
      </c>
      <c r="F170" s="279">
        <v>0</v>
      </c>
      <c r="G170" s="289"/>
      <c r="H170" s="289" t="s">
        <v>1115</v>
      </c>
      <c r="I170" s="290" t="s">
        <v>735</v>
      </c>
      <c r="J170" s="40"/>
      <c r="K170" s="40"/>
      <c r="L170" s="40"/>
    </row>
    <row r="171" spans="1:27" ht="15.75" customHeight="1" thickBot="1" x14ac:dyDescent="0.3">
      <c r="A171" s="507"/>
      <c r="B171" s="533"/>
      <c r="C171" s="271" t="s">
        <v>218</v>
      </c>
      <c r="D171" s="280" t="s">
        <v>1116</v>
      </c>
      <c r="E171" s="329"/>
      <c r="F171" s="329">
        <v>0</v>
      </c>
      <c r="G171" s="289"/>
      <c r="H171" s="289"/>
      <c r="I171" s="290"/>
      <c r="J171" s="40"/>
      <c r="K171" s="40"/>
      <c r="L171" s="40"/>
    </row>
    <row r="172" spans="1:27" ht="15.75" customHeight="1" x14ac:dyDescent="0.25">
      <c r="A172" s="507"/>
      <c r="B172" s="556" t="s">
        <v>1117</v>
      </c>
      <c r="C172" s="281" t="s">
        <v>207</v>
      </c>
      <c r="D172" s="287" t="s">
        <v>1118</v>
      </c>
      <c r="E172" s="277">
        <f>'Вспомогательная (Панели)'!D76</f>
        <v>99999999</v>
      </c>
      <c r="F172" s="277">
        <v>0</v>
      </c>
      <c r="G172" s="287"/>
      <c r="H172" s="287" t="s">
        <v>1119</v>
      </c>
      <c r="I172" s="288" t="s">
        <v>1120</v>
      </c>
      <c r="J172" s="40"/>
      <c r="K172" s="40"/>
      <c r="L172" s="40"/>
    </row>
    <row r="173" spans="1:27" ht="15.75" customHeight="1" thickBot="1" x14ac:dyDescent="0.3">
      <c r="A173" s="508"/>
      <c r="B173" s="557"/>
      <c r="C173" s="332" t="s">
        <v>218</v>
      </c>
      <c r="D173" s="292" t="s">
        <v>1121</v>
      </c>
      <c r="E173" s="312"/>
      <c r="F173" s="312">
        <v>0</v>
      </c>
      <c r="G173" s="285"/>
      <c r="H173" s="285"/>
      <c r="I173" s="286" t="s">
        <v>1120</v>
      </c>
      <c r="J173" s="40"/>
      <c r="K173" s="40"/>
      <c r="L173" s="40"/>
    </row>
    <row r="174" spans="1:27" ht="15.75" customHeight="1" thickBot="1" x14ac:dyDescent="0.3">
      <c r="A174" s="40"/>
      <c r="B174" s="40"/>
      <c r="C174" s="40"/>
      <c r="D174" s="40"/>
      <c r="E174" s="41"/>
      <c r="F174" s="41"/>
      <c r="G174" s="40"/>
      <c r="H174" s="40"/>
      <c r="I174" s="40"/>
      <c r="J174" s="40"/>
      <c r="K174" s="40"/>
      <c r="L174" s="40"/>
    </row>
    <row r="175" spans="1:27" ht="15.75" customHeight="1" thickBot="1" x14ac:dyDescent="0.3">
      <c r="A175" s="457" t="s">
        <v>1195</v>
      </c>
      <c r="B175" s="40"/>
      <c r="C175" s="40"/>
      <c r="D175" s="194"/>
      <c r="E175" s="40"/>
      <c r="F175" s="40"/>
      <c r="G175" s="40"/>
      <c r="H175" s="40"/>
      <c r="I175" s="40"/>
      <c r="J175" s="40"/>
      <c r="K175" s="40"/>
    </row>
    <row r="176" spans="1:27" ht="15.75" customHeight="1" thickBot="1" x14ac:dyDescent="0.3">
      <c r="A176" s="456"/>
      <c r="B176" s="448"/>
      <c r="C176" s="449"/>
      <c r="D176" s="449"/>
      <c r="E176" s="450"/>
      <c r="F176" s="450"/>
      <c r="G176" s="63"/>
      <c r="H176" s="63"/>
      <c r="I176" s="64"/>
      <c r="J176" s="40"/>
      <c r="K176" s="40"/>
    </row>
    <row r="177" spans="1:16" ht="15.75" customHeight="1" x14ac:dyDescent="0.25">
      <c r="A177" s="40"/>
      <c r="B177" s="40"/>
      <c r="C177" s="40"/>
      <c r="D177" s="40"/>
      <c r="E177" s="41"/>
      <c r="F177" s="41"/>
      <c r="G177" s="40"/>
      <c r="H177" s="40"/>
      <c r="I177" s="40"/>
      <c r="J177" s="40"/>
      <c r="K177" s="40"/>
      <c r="L177" s="40"/>
    </row>
    <row r="178" spans="1:16" ht="15.75" customHeight="1" x14ac:dyDescent="0.25">
      <c r="A178" s="40"/>
      <c r="B178" s="40"/>
      <c r="C178" s="40"/>
      <c r="D178" s="40"/>
      <c r="E178" s="41"/>
      <c r="F178" s="41"/>
      <c r="G178" s="40"/>
      <c r="H178" s="40"/>
      <c r="I178" s="40"/>
      <c r="J178" s="40"/>
      <c r="K178" s="40"/>
      <c r="L178" s="40"/>
    </row>
    <row r="179" spans="1:16" ht="15.75" customHeight="1" x14ac:dyDescent="0.25">
      <c r="A179" s="40"/>
      <c r="B179" s="40"/>
      <c r="C179" s="40"/>
      <c r="D179" s="40"/>
      <c r="E179" s="41"/>
      <c r="F179" s="41"/>
      <c r="G179" s="40"/>
      <c r="H179" s="40"/>
      <c r="I179" s="40"/>
      <c r="J179" s="40"/>
      <c r="K179" s="40"/>
      <c r="L179" s="40"/>
    </row>
    <row r="180" spans="1:16" ht="15.75" customHeight="1" x14ac:dyDescent="0.25">
      <c r="A180" s="40"/>
      <c r="B180" s="40"/>
      <c r="C180" s="40"/>
      <c r="D180" s="40"/>
      <c r="E180" s="41"/>
      <c r="F180" s="41"/>
      <c r="G180" s="40"/>
      <c r="H180" s="40"/>
      <c r="I180" s="40"/>
      <c r="J180" s="40"/>
      <c r="K180" s="40"/>
      <c r="L180" s="40"/>
      <c r="O180" s="333" t="s">
        <v>1003</v>
      </c>
      <c r="P180" s="333">
        <f>SUM(P20,P103,P106,P107,P110,P114,P116,P120,P143,P145,P147,P149,P162,P163,P165)</f>
        <v>7771499922.2850008</v>
      </c>
    </row>
    <row r="181" spans="1:16" ht="15.75" customHeight="1" x14ac:dyDescent="0.25">
      <c r="A181" s="40"/>
      <c r="B181" s="40"/>
      <c r="C181" s="40"/>
      <c r="D181" s="40"/>
      <c r="E181" s="41"/>
      <c r="F181" s="41"/>
      <c r="G181" s="40"/>
      <c r="H181" s="40"/>
      <c r="I181" s="40"/>
      <c r="J181" s="40"/>
      <c r="K181" s="40"/>
      <c r="L181" s="40"/>
    </row>
    <row r="182" spans="1:16" ht="15.75" customHeight="1" x14ac:dyDescent="0.25">
      <c r="A182" s="40"/>
      <c r="B182" s="40"/>
      <c r="C182" s="40"/>
      <c r="D182" s="40"/>
      <c r="E182" s="41"/>
      <c r="F182" s="41"/>
      <c r="G182" s="40"/>
      <c r="H182" s="40"/>
      <c r="I182" s="40"/>
      <c r="J182" s="40"/>
      <c r="K182" s="40"/>
      <c r="L182" s="40"/>
    </row>
    <row r="183" spans="1:16" ht="15.75" customHeight="1" x14ac:dyDescent="0.25">
      <c r="A183" s="40"/>
      <c r="B183" s="40"/>
      <c r="C183" s="40"/>
      <c r="D183" s="40"/>
      <c r="E183" s="41"/>
      <c r="F183" s="41"/>
      <c r="G183" s="40"/>
      <c r="H183" s="40"/>
      <c r="I183" s="40"/>
      <c r="J183" s="40"/>
      <c r="K183" s="40"/>
      <c r="L183" s="40"/>
    </row>
    <row r="184" spans="1:16" ht="15.75" customHeight="1" x14ac:dyDescent="0.25">
      <c r="A184" s="40"/>
      <c r="B184" s="40"/>
      <c r="C184" s="40"/>
      <c r="D184" s="40"/>
      <c r="E184" s="41"/>
      <c r="F184" s="41"/>
      <c r="G184" s="40"/>
      <c r="H184" s="40"/>
      <c r="I184" s="40"/>
      <c r="J184" s="40"/>
      <c r="K184" s="40"/>
      <c r="L184" s="40"/>
    </row>
    <row r="185" spans="1:16" ht="15.75" customHeight="1" x14ac:dyDescent="0.25">
      <c r="A185" s="40"/>
      <c r="B185" s="40"/>
      <c r="C185" s="40"/>
      <c r="D185" s="40"/>
      <c r="E185" s="41"/>
      <c r="F185" s="41"/>
      <c r="G185" s="40"/>
      <c r="H185" s="40"/>
      <c r="I185" s="40"/>
      <c r="J185" s="40"/>
      <c r="K185" s="40"/>
      <c r="L185" s="40"/>
    </row>
    <row r="186" spans="1:16" ht="15.75" customHeight="1" x14ac:dyDescent="0.25">
      <c r="A186" s="40"/>
      <c r="B186" s="40"/>
      <c r="C186" s="40"/>
      <c r="D186" s="40"/>
      <c r="E186" s="41"/>
      <c r="F186" s="41"/>
      <c r="G186" s="40"/>
      <c r="H186" s="40"/>
      <c r="I186" s="40"/>
      <c r="J186" s="40"/>
      <c r="K186" s="40"/>
      <c r="L186" s="40"/>
    </row>
    <row r="187" spans="1:16" ht="15.75" customHeight="1" x14ac:dyDescent="0.25">
      <c r="A187" s="40"/>
      <c r="B187" s="40"/>
      <c r="C187" s="40"/>
      <c r="D187" s="40"/>
      <c r="E187" s="41"/>
      <c r="F187" s="41"/>
      <c r="G187" s="40"/>
      <c r="H187" s="40"/>
      <c r="I187" s="40"/>
      <c r="J187" s="40"/>
      <c r="K187" s="40"/>
      <c r="L187" s="40"/>
    </row>
    <row r="188" spans="1:16" ht="15.75" customHeight="1" x14ac:dyDescent="0.25">
      <c r="A188" s="40"/>
      <c r="B188" s="40"/>
      <c r="C188" s="40"/>
      <c r="D188" s="40"/>
      <c r="E188" s="41"/>
      <c r="F188" s="41"/>
      <c r="G188" s="40"/>
      <c r="H188" s="40"/>
      <c r="I188" s="40"/>
      <c r="J188" s="40"/>
      <c r="K188" s="40"/>
      <c r="L188" s="40"/>
    </row>
    <row r="189" spans="1:16" ht="15.75" customHeight="1" x14ac:dyDescent="0.25">
      <c r="A189" s="40"/>
      <c r="B189" s="40"/>
      <c r="C189" s="40"/>
      <c r="D189" s="40"/>
      <c r="E189" s="41"/>
      <c r="F189" s="41"/>
      <c r="G189" s="40"/>
      <c r="H189" s="40"/>
      <c r="I189" s="40"/>
      <c r="J189" s="40"/>
      <c r="K189" s="40"/>
      <c r="L189" s="40"/>
    </row>
    <row r="190" spans="1:16" ht="15.75" customHeight="1" x14ac:dyDescent="0.25">
      <c r="A190" s="40"/>
      <c r="B190" s="40"/>
      <c r="C190" s="40"/>
      <c r="D190" s="40"/>
      <c r="E190" s="41"/>
      <c r="F190" s="41"/>
      <c r="G190" s="40"/>
      <c r="H190" s="40"/>
      <c r="I190" s="40"/>
      <c r="J190" s="40"/>
      <c r="K190" s="40"/>
      <c r="L190" s="40"/>
    </row>
    <row r="191" spans="1:16" ht="15.75" customHeight="1" x14ac:dyDescent="0.25">
      <c r="A191" s="40"/>
      <c r="B191" s="40"/>
      <c r="C191" s="40"/>
      <c r="D191" s="40"/>
      <c r="E191" s="41"/>
      <c r="F191" s="41"/>
      <c r="G191" s="40"/>
      <c r="H191" s="40"/>
      <c r="I191" s="40"/>
      <c r="J191" s="40"/>
      <c r="K191" s="40"/>
      <c r="L191" s="40"/>
    </row>
    <row r="192" spans="1:16" ht="15.75" customHeight="1" x14ac:dyDescent="0.25">
      <c r="A192" s="40"/>
      <c r="B192" s="40"/>
      <c r="C192" s="40"/>
      <c r="D192" s="40"/>
      <c r="E192" s="41"/>
      <c r="F192" s="41"/>
      <c r="G192" s="40"/>
      <c r="H192" s="40"/>
      <c r="I192" s="40"/>
      <c r="J192" s="40"/>
      <c r="K192" s="40"/>
      <c r="L192" s="40"/>
    </row>
    <row r="193" spans="1:12" ht="15.75" customHeight="1" x14ac:dyDescent="0.25">
      <c r="A193" s="40"/>
      <c r="B193" s="40"/>
      <c r="C193" s="40"/>
      <c r="D193" s="40"/>
      <c r="E193" s="41"/>
      <c r="F193" s="41"/>
      <c r="G193" s="40"/>
      <c r="H193" s="40"/>
      <c r="I193" s="40"/>
      <c r="J193" s="40"/>
      <c r="K193" s="40"/>
      <c r="L193" s="40"/>
    </row>
    <row r="194" spans="1:12" ht="15.75" customHeight="1" x14ac:dyDescent="0.25">
      <c r="A194" s="40"/>
      <c r="B194" s="40"/>
      <c r="C194" s="40"/>
      <c r="D194" s="40"/>
      <c r="E194" s="41"/>
      <c r="F194" s="41"/>
      <c r="G194" s="40"/>
      <c r="H194" s="40"/>
      <c r="I194" s="40"/>
      <c r="J194" s="40"/>
      <c r="K194" s="40"/>
      <c r="L194" s="40"/>
    </row>
    <row r="195" spans="1:12" ht="15.75" customHeight="1" x14ac:dyDescent="0.25">
      <c r="A195" s="40"/>
      <c r="B195" s="40"/>
      <c r="C195" s="40"/>
      <c r="D195" s="40"/>
      <c r="E195" s="41"/>
      <c r="F195" s="41"/>
      <c r="G195" s="40"/>
      <c r="H195" s="40"/>
      <c r="I195" s="40"/>
      <c r="J195" s="40"/>
      <c r="K195" s="40"/>
      <c r="L195" s="40"/>
    </row>
    <row r="196" spans="1:12" ht="15.75" customHeight="1" x14ac:dyDescent="0.25">
      <c r="A196" s="40"/>
      <c r="B196" s="40"/>
      <c r="C196" s="40"/>
      <c r="D196" s="40"/>
      <c r="E196" s="41"/>
      <c r="F196" s="41"/>
      <c r="G196" s="40"/>
      <c r="H196" s="40"/>
      <c r="I196" s="40"/>
      <c r="J196" s="40"/>
      <c r="K196" s="40"/>
      <c r="L196" s="40"/>
    </row>
    <row r="197" spans="1:12" ht="15.75" customHeight="1" x14ac:dyDescent="0.25">
      <c r="A197" s="40"/>
      <c r="B197" s="40"/>
      <c r="C197" s="40"/>
      <c r="D197" s="40"/>
      <c r="E197" s="41"/>
      <c r="F197" s="41"/>
      <c r="G197" s="40"/>
      <c r="H197" s="40"/>
      <c r="I197" s="40"/>
      <c r="J197" s="40"/>
      <c r="K197" s="40"/>
      <c r="L197" s="40"/>
    </row>
    <row r="198" spans="1:12" ht="15.75" customHeight="1" x14ac:dyDescent="0.25">
      <c r="A198" s="40"/>
      <c r="B198" s="40"/>
      <c r="C198" s="40"/>
      <c r="D198" s="40"/>
      <c r="E198" s="41"/>
      <c r="F198" s="41"/>
      <c r="G198" s="40"/>
      <c r="H198" s="40"/>
      <c r="I198" s="40"/>
      <c r="J198" s="40"/>
      <c r="K198" s="40"/>
      <c r="L198" s="40"/>
    </row>
    <row r="199" spans="1:12" ht="15.75" customHeight="1" x14ac:dyDescent="0.25">
      <c r="A199" s="40"/>
      <c r="B199" s="40"/>
      <c r="C199" s="40"/>
      <c r="D199" s="40"/>
      <c r="E199" s="41"/>
      <c r="F199" s="41"/>
      <c r="G199" s="40"/>
      <c r="H199" s="40"/>
      <c r="I199" s="40"/>
      <c r="J199" s="40"/>
      <c r="K199" s="40"/>
      <c r="L199" s="40"/>
    </row>
    <row r="200" spans="1:12" ht="15.75" customHeight="1" x14ac:dyDescent="0.25">
      <c r="A200" s="40"/>
      <c r="B200" s="40"/>
      <c r="C200" s="40"/>
      <c r="D200" s="40"/>
      <c r="E200" s="41"/>
      <c r="F200" s="41"/>
      <c r="G200" s="40"/>
      <c r="H200" s="40"/>
      <c r="I200" s="40"/>
      <c r="J200" s="40"/>
      <c r="K200" s="40"/>
      <c r="L200" s="40"/>
    </row>
    <row r="201" spans="1:12" ht="15.75" customHeight="1" x14ac:dyDescent="0.25">
      <c r="A201" s="40"/>
      <c r="B201" s="40"/>
      <c r="C201" s="40"/>
      <c r="D201" s="40"/>
      <c r="E201" s="41"/>
      <c r="F201" s="41"/>
      <c r="G201" s="40"/>
      <c r="H201" s="40"/>
      <c r="I201" s="40"/>
      <c r="J201" s="40"/>
      <c r="K201" s="40"/>
      <c r="L201" s="40"/>
    </row>
    <row r="202" spans="1:12" ht="15.75" customHeight="1" x14ac:dyDescent="0.25">
      <c r="A202" s="40"/>
      <c r="B202" s="40"/>
      <c r="C202" s="40"/>
      <c r="D202" s="40"/>
      <c r="E202" s="41"/>
      <c r="F202" s="41"/>
      <c r="G202" s="40"/>
      <c r="H202" s="40"/>
      <c r="I202" s="40"/>
      <c r="J202" s="40"/>
      <c r="K202" s="40"/>
      <c r="L202" s="40"/>
    </row>
    <row r="203" spans="1:12" ht="15.75" customHeight="1" x14ac:dyDescent="0.25">
      <c r="A203" s="40"/>
      <c r="B203" s="40"/>
      <c r="C203" s="40"/>
      <c r="D203" s="40"/>
      <c r="E203" s="41"/>
      <c r="F203" s="41"/>
      <c r="G203" s="40"/>
      <c r="H203" s="40"/>
      <c r="I203" s="40"/>
      <c r="J203" s="40"/>
      <c r="K203" s="40"/>
      <c r="L203" s="40"/>
    </row>
    <row r="204" spans="1:12" ht="15.75" customHeight="1" x14ac:dyDescent="0.25">
      <c r="A204" s="40"/>
      <c r="B204" s="40"/>
      <c r="C204" s="40"/>
      <c r="D204" s="40"/>
      <c r="E204" s="41"/>
      <c r="F204" s="41"/>
      <c r="G204" s="40"/>
      <c r="H204" s="40"/>
      <c r="I204" s="40"/>
      <c r="J204" s="40"/>
      <c r="K204" s="40"/>
      <c r="L204" s="40"/>
    </row>
    <row r="205" spans="1:12" ht="15.75" customHeight="1" x14ac:dyDescent="0.25">
      <c r="A205" s="40"/>
      <c r="B205" s="40"/>
      <c r="C205" s="40"/>
      <c r="D205" s="40"/>
      <c r="E205" s="41"/>
      <c r="F205" s="41"/>
      <c r="G205" s="40"/>
      <c r="H205" s="40"/>
      <c r="I205" s="40"/>
      <c r="J205" s="40"/>
      <c r="K205" s="40"/>
      <c r="L205" s="40"/>
    </row>
    <row r="206" spans="1:12" ht="15.75" customHeight="1" x14ac:dyDescent="0.25">
      <c r="A206" s="40"/>
      <c r="B206" s="40"/>
      <c r="C206" s="40"/>
      <c r="D206" s="40"/>
      <c r="E206" s="41"/>
      <c r="F206" s="41"/>
      <c r="G206" s="40"/>
      <c r="H206" s="40"/>
      <c r="I206" s="40"/>
      <c r="J206" s="40"/>
      <c r="K206" s="40"/>
      <c r="L206" s="40"/>
    </row>
    <row r="207" spans="1:12" ht="15.75" customHeight="1" x14ac:dyDescent="0.25">
      <c r="A207" s="40"/>
      <c r="B207" s="40"/>
      <c r="C207" s="40"/>
      <c r="D207" s="40"/>
      <c r="E207" s="41"/>
      <c r="F207" s="41"/>
      <c r="G207" s="40"/>
      <c r="H207" s="40"/>
      <c r="I207" s="40"/>
      <c r="J207" s="40"/>
      <c r="K207" s="40"/>
      <c r="L207" s="40"/>
    </row>
    <row r="208" spans="1:12" ht="15.75" customHeight="1" x14ac:dyDescent="0.25">
      <c r="A208" s="40"/>
      <c r="B208" s="40"/>
      <c r="C208" s="40"/>
      <c r="D208" s="40"/>
      <c r="E208" s="41"/>
      <c r="F208" s="41"/>
      <c r="G208" s="40"/>
      <c r="H208" s="40"/>
      <c r="I208" s="40"/>
      <c r="J208" s="40"/>
      <c r="K208" s="40"/>
      <c r="L208" s="40"/>
    </row>
    <row r="209" spans="1:12" ht="15.75" customHeight="1" x14ac:dyDescent="0.25">
      <c r="A209" s="40"/>
      <c r="B209" s="40"/>
      <c r="C209" s="40"/>
      <c r="D209" s="40"/>
      <c r="E209" s="41"/>
      <c r="F209" s="41"/>
      <c r="G209" s="40"/>
      <c r="H209" s="40"/>
      <c r="I209" s="40"/>
      <c r="J209" s="40"/>
      <c r="K209" s="40"/>
      <c r="L209" s="40"/>
    </row>
    <row r="210" spans="1:12" ht="15.75" customHeight="1" x14ac:dyDescent="0.25">
      <c r="A210" s="40"/>
      <c r="B210" s="40"/>
      <c r="C210" s="40"/>
      <c r="D210" s="40"/>
      <c r="E210" s="41"/>
      <c r="F210" s="41"/>
      <c r="G210" s="40"/>
      <c r="H210" s="40"/>
      <c r="I210" s="40"/>
      <c r="J210" s="40"/>
      <c r="K210" s="40"/>
      <c r="L210" s="40"/>
    </row>
    <row r="211" spans="1:12" ht="15.75" customHeight="1" x14ac:dyDescent="0.25">
      <c r="A211" s="40"/>
      <c r="B211" s="40"/>
      <c r="C211" s="40"/>
      <c r="D211" s="40"/>
      <c r="E211" s="41"/>
      <c r="F211" s="41"/>
      <c r="G211" s="40"/>
      <c r="H211" s="40"/>
      <c r="I211" s="40"/>
      <c r="J211" s="40"/>
      <c r="K211" s="40"/>
      <c r="L211" s="40"/>
    </row>
    <row r="212" spans="1:12" ht="15.75" customHeight="1" x14ac:dyDescent="0.25">
      <c r="A212" s="40"/>
      <c r="B212" s="40"/>
      <c r="C212" s="40"/>
      <c r="D212" s="40"/>
      <c r="E212" s="41"/>
      <c r="F212" s="41"/>
      <c r="G212" s="40"/>
      <c r="H212" s="40"/>
      <c r="I212" s="40"/>
      <c r="J212" s="40"/>
      <c r="K212" s="40"/>
      <c r="L212" s="40"/>
    </row>
    <row r="213" spans="1:12" ht="15.75" customHeight="1" x14ac:dyDescent="0.25">
      <c r="A213" s="40"/>
      <c r="B213" s="40"/>
      <c r="C213" s="40"/>
      <c r="D213" s="40"/>
      <c r="E213" s="41"/>
      <c r="F213" s="41"/>
      <c r="G213" s="40"/>
      <c r="H213" s="40"/>
      <c r="I213" s="40"/>
      <c r="J213" s="40"/>
      <c r="K213" s="40"/>
      <c r="L213" s="40"/>
    </row>
    <row r="214" spans="1:12" ht="15.75" customHeight="1" x14ac:dyDescent="0.25">
      <c r="A214" s="40"/>
      <c r="B214" s="40"/>
      <c r="C214" s="40"/>
      <c r="D214" s="40"/>
      <c r="E214" s="41"/>
      <c r="F214" s="41"/>
      <c r="G214" s="40"/>
      <c r="H214" s="40"/>
      <c r="I214" s="40"/>
      <c r="J214" s="40"/>
      <c r="K214" s="40"/>
      <c r="L214" s="40"/>
    </row>
    <row r="215" spans="1:12" ht="15.75" customHeight="1" x14ac:dyDescent="0.25">
      <c r="A215" s="40"/>
      <c r="B215" s="40"/>
      <c r="C215" s="40"/>
      <c r="D215" s="40"/>
      <c r="E215" s="41"/>
      <c r="F215" s="41"/>
      <c r="G215" s="40"/>
      <c r="H215" s="40"/>
      <c r="I215" s="40"/>
      <c r="J215" s="40"/>
      <c r="K215" s="40"/>
      <c r="L215" s="40"/>
    </row>
    <row r="216" spans="1:12" ht="15.75" customHeight="1" x14ac:dyDescent="0.25">
      <c r="A216" s="40"/>
      <c r="B216" s="40"/>
      <c r="C216" s="40"/>
      <c r="D216" s="40"/>
      <c r="E216" s="41"/>
      <c r="F216" s="41"/>
      <c r="G216" s="40"/>
      <c r="H216" s="40"/>
      <c r="I216" s="40"/>
      <c r="J216" s="40"/>
      <c r="K216" s="40"/>
      <c r="L216" s="40"/>
    </row>
    <row r="217" spans="1:12" ht="15.75" customHeight="1" x14ac:dyDescent="0.25">
      <c r="A217" s="40"/>
      <c r="B217" s="40"/>
      <c r="C217" s="40"/>
      <c r="D217" s="40"/>
      <c r="E217" s="41"/>
      <c r="F217" s="41"/>
      <c r="G217" s="40"/>
      <c r="H217" s="40"/>
      <c r="I217" s="40"/>
      <c r="J217" s="40"/>
      <c r="K217" s="40"/>
      <c r="L217" s="40"/>
    </row>
    <row r="218" spans="1:12" ht="15.75" customHeight="1" x14ac:dyDescent="0.25">
      <c r="A218" s="40"/>
      <c r="B218" s="40"/>
      <c r="C218" s="40"/>
      <c r="D218" s="40"/>
      <c r="E218" s="41"/>
      <c r="F218" s="41"/>
      <c r="G218" s="40"/>
      <c r="H218" s="40"/>
      <c r="I218" s="40"/>
      <c r="J218" s="40"/>
      <c r="K218" s="40"/>
      <c r="L218" s="40"/>
    </row>
    <row r="219" spans="1:12" ht="15.75" customHeight="1" x14ac:dyDescent="0.25">
      <c r="A219" s="40"/>
      <c r="B219" s="40"/>
      <c r="C219" s="40"/>
      <c r="D219" s="40"/>
      <c r="E219" s="41"/>
      <c r="F219" s="41"/>
      <c r="G219" s="40"/>
      <c r="H219" s="40"/>
      <c r="I219" s="40"/>
      <c r="J219" s="40"/>
      <c r="K219" s="40"/>
      <c r="L219" s="40"/>
    </row>
    <row r="220" spans="1:12" ht="15.75" customHeight="1" x14ac:dyDescent="0.25">
      <c r="A220" s="40"/>
      <c r="B220" s="40"/>
      <c r="C220" s="40"/>
      <c r="D220" s="40"/>
      <c r="E220" s="41"/>
      <c r="F220" s="41"/>
      <c r="G220" s="40"/>
      <c r="H220" s="40"/>
      <c r="I220" s="40"/>
      <c r="J220" s="40"/>
      <c r="K220" s="40"/>
      <c r="L220" s="40"/>
    </row>
    <row r="221" spans="1:12" ht="15.75" customHeight="1" x14ac:dyDescent="0.25">
      <c r="A221" s="40"/>
      <c r="B221" s="40"/>
      <c r="C221" s="40"/>
      <c r="D221" s="40"/>
      <c r="E221" s="41"/>
      <c r="F221" s="41"/>
      <c r="G221" s="40"/>
      <c r="H221" s="40"/>
      <c r="I221" s="40"/>
      <c r="J221" s="40"/>
      <c r="K221" s="40"/>
      <c r="L221" s="40"/>
    </row>
    <row r="222" spans="1:12" ht="15.75" customHeight="1" x14ac:dyDescent="0.25">
      <c r="A222" s="40"/>
      <c r="B222" s="40"/>
      <c r="C222" s="40"/>
      <c r="D222" s="40"/>
      <c r="E222" s="41"/>
      <c r="F222" s="41"/>
      <c r="G222" s="40"/>
      <c r="H222" s="40"/>
      <c r="I222" s="40"/>
      <c r="J222" s="40"/>
      <c r="K222" s="40"/>
      <c r="L222" s="40"/>
    </row>
    <row r="223" spans="1:12" ht="15.75" customHeight="1" x14ac:dyDescent="0.25">
      <c r="A223" s="40"/>
      <c r="B223" s="40"/>
      <c r="C223" s="40"/>
      <c r="D223" s="40"/>
      <c r="E223" s="41"/>
      <c r="F223" s="41"/>
      <c r="G223" s="40"/>
      <c r="H223" s="40"/>
      <c r="I223" s="40"/>
      <c r="J223" s="40"/>
      <c r="K223" s="40"/>
      <c r="L223" s="40"/>
    </row>
    <row r="224" spans="1:12" ht="15.75" customHeight="1" x14ac:dyDescent="0.25">
      <c r="A224" s="40"/>
      <c r="B224" s="40"/>
      <c r="C224" s="40"/>
      <c r="D224" s="40"/>
      <c r="E224" s="41"/>
      <c r="F224" s="41"/>
      <c r="G224" s="40"/>
      <c r="H224" s="40"/>
      <c r="I224" s="40"/>
      <c r="J224" s="40"/>
      <c r="K224" s="40"/>
      <c r="L224" s="40"/>
    </row>
    <row r="225" spans="1:12" ht="15.75" customHeight="1" x14ac:dyDescent="0.25">
      <c r="A225" s="40"/>
      <c r="B225" s="40"/>
      <c r="C225" s="40"/>
      <c r="D225" s="40"/>
      <c r="E225" s="41"/>
      <c r="F225" s="41"/>
      <c r="G225" s="40"/>
      <c r="H225" s="40"/>
      <c r="I225" s="40"/>
      <c r="J225" s="40"/>
      <c r="K225" s="40"/>
      <c r="L225" s="40"/>
    </row>
    <row r="226" spans="1:12" ht="15.75" customHeight="1" x14ac:dyDescent="0.25">
      <c r="A226" s="40"/>
      <c r="B226" s="40"/>
      <c r="C226" s="40"/>
      <c r="D226" s="40"/>
      <c r="E226" s="41"/>
      <c r="F226" s="41"/>
      <c r="G226" s="40"/>
      <c r="H226" s="40"/>
      <c r="I226" s="40"/>
      <c r="J226" s="40"/>
      <c r="K226" s="40"/>
      <c r="L226" s="40"/>
    </row>
    <row r="227" spans="1:12" ht="15.75" customHeight="1" x14ac:dyDescent="0.25">
      <c r="A227" s="40"/>
      <c r="B227" s="40"/>
      <c r="C227" s="40"/>
      <c r="D227" s="40"/>
      <c r="E227" s="41"/>
      <c r="F227" s="41"/>
      <c r="G227" s="40"/>
      <c r="H227" s="40"/>
      <c r="I227" s="40"/>
      <c r="J227" s="40"/>
      <c r="K227" s="40"/>
      <c r="L227" s="40"/>
    </row>
    <row r="228" spans="1:12" ht="15.75" customHeight="1" x14ac:dyDescent="0.25">
      <c r="A228" s="40"/>
      <c r="B228" s="40"/>
      <c r="C228" s="40"/>
      <c r="D228" s="40"/>
      <c r="E228" s="41"/>
      <c r="F228" s="41"/>
      <c r="G228" s="40"/>
      <c r="H228" s="40"/>
      <c r="I228" s="40"/>
      <c r="J228" s="40"/>
      <c r="K228" s="40"/>
      <c r="L228" s="40"/>
    </row>
    <row r="229" spans="1:12" ht="15.75" customHeight="1" x14ac:dyDescent="0.25">
      <c r="A229" s="40"/>
      <c r="B229" s="40"/>
      <c r="C229" s="40"/>
      <c r="D229" s="40"/>
      <c r="E229" s="41"/>
      <c r="F229" s="41"/>
      <c r="G229" s="40"/>
      <c r="H229" s="40"/>
      <c r="I229" s="40"/>
      <c r="J229" s="40"/>
      <c r="K229" s="40"/>
      <c r="L229" s="40"/>
    </row>
    <row r="230" spans="1:12" ht="15.75" customHeight="1" x14ac:dyDescent="0.25">
      <c r="A230" s="40"/>
      <c r="B230" s="40"/>
      <c r="C230" s="40"/>
      <c r="D230" s="40"/>
      <c r="E230" s="41"/>
      <c r="F230" s="41"/>
      <c r="G230" s="40"/>
      <c r="H230" s="40"/>
      <c r="I230" s="40"/>
      <c r="J230" s="40"/>
      <c r="K230" s="40"/>
      <c r="L230" s="40"/>
    </row>
    <row r="231" spans="1:12" ht="15.75" customHeight="1" x14ac:dyDescent="0.25">
      <c r="A231" s="40"/>
      <c r="B231" s="40"/>
      <c r="C231" s="40"/>
      <c r="D231" s="40"/>
      <c r="E231" s="41"/>
      <c r="F231" s="41"/>
      <c r="G231" s="40"/>
      <c r="H231" s="40"/>
      <c r="I231" s="40"/>
      <c r="J231" s="40"/>
      <c r="K231" s="40"/>
      <c r="L231" s="40"/>
    </row>
    <row r="232" spans="1:12" ht="15.75" customHeight="1" x14ac:dyDescent="0.25">
      <c r="A232" s="40"/>
      <c r="B232" s="40"/>
      <c r="C232" s="40"/>
      <c r="D232" s="40"/>
      <c r="E232" s="41"/>
      <c r="F232" s="41"/>
      <c r="G232" s="40"/>
      <c r="H232" s="40"/>
      <c r="I232" s="40"/>
      <c r="J232" s="40"/>
      <c r="K232" s="40"/>
      <c r="L232" s="40"/>
    </row>
    <row r="233" spans="1:12" ht="15.75" customHeight="1" x14ac:dyDescent="0.25">
      <c r="A233" s="40"/>
      <c r="B233" s="40"/>
      <c r="C233" s="40"/>
      <c r="D233" s="40"/>
      <c r="E233" s="41"/>
      <c r="F233" s="41"/>
      <c r="G233" s="40"/>
      <c r="H233" s="40"/>
      <c r="I233" s="40"/>
      <c r="J233" s="40"/>
      <c r="K233" s="40"/>
      <c r="L233" s="40"/>
    </row>
    <row r="234" spans="1:12" ht="15.75" customHeight="1" x14ac:dyDescent="0.25">
      <c r="A234" s="40"/>
      <c r="B234" s="40"/>
      <c r="C234" s="40"/>
      <c r="D234" s="40"/>
      <c r="E234" s="41"/>
      <c r="F234" s="41"/>
      <c r="G234" s="40"/>
      <c r="H234" s="40"/>
      <c r="I234" s="40"/>
      <c r="J234" s="40"/>
      <c r="K234" s="40"/>
      <c r="L234" s="40"/>
    </row>
    <row r="235" spans="1:12" ht="15.75" customHeight="1" x14ac:dyDescent="0.25">
      <c r="A235" s="40"/>
      <c r="B235" s="40"/>
      <c r="C235" s="40"/>
      <c r="D235" s="40"/>
      <c r="E235" s="41"/>
      <c r="F235" s="41"/>
      <c r="G235" s="40"/>
      <c r="H235" s="40"/>
      <c r="I235" s="40"/>
      <c r="J235" s="40"/>
      <c r="K235" s="40"/>
      <c r="L235" s="40"/>
    </row>
    <row r="236" spans="1:12" ht="15.75" customHeight="1" x14ac:dyDescent="0.25">
      <c r="A236" s="40"/>
      <c r="B236" s="40"/>
      <c r="C236" s="40"/>
      <c r="D236" s="40"/>
      <c r="E236" s="41"/>
      <c r="F236" s="41"/>
      <c r="G236" s="40"/>
      <c r="H236" s="40"/>
      <c r="I236" s="40"/>
      <c r="J236" s="40"/>
      <c r="K236" s="40"/>
      <c r="L236" s="40"/>
    </row>
    <row r="237" spans="1:12" ht="15.75" customHeight="1" x14ac:dyDescent="0.25">
      <c r="A237" s="40"/>
      <c r="B237" s="40"/>
      <c r="C237" s="40"/>
      <c r="D237" s="40"/>
      <c r="E237" s="41"/>
      <c r="F237" s="41"/>
      <c r="G237" s="40"/>
      <c r="H237" s="40"/>
      <c r="I237" s="40"/>
      <c r="J237" s="40"/>
      <c r="K237" s="40"/>
      <c r="L237" s="40"/>
    </row>
    <row r="238" spans="1:12" ht="15.75" customHeight="1" x14ac:dyDescent="0.25">
      <c r="A238" s="40"/>
      <c r="B238" s="40"/>
      <c r="C238" s="40"/>
      <c r="D238" s="40"/>
      <c r="E238" s="41"/>
      <c r="F238" s="41"/>
      <c r="G238" s="40"/>
      <c r="H238" s="40"/>
      <c r="I238" s="40"/>
      <c r="J238" s="40"/>
      <c r="K238" s="40"/>
      <c r="L238" s="40"/>
    </row>
    <row r="239" spans="1:12" ht="15.75" customHeight="1" x14ac:dyDescent="0.25">
      <c r="A239" s="40"/>
      <c r="B239" s="40"/>
      <c r="C239" s="40"/>
      <c r="D239" s="40"/>
      <c r="E239" s="41"/>
      <c r="F239" s="41"/>
      <c r="G239" s="40"/>
      <c r="H239" s="40"/>
      <c r="I239" s="40"/>
      <c r="J239" s="40"/>
      <c r="K239" s="40"/>
      <c r="L239" s="40"/>
    </row>
    <row r="240" spans="1:12" ht="15.75" customHeight="1" x14ac:dyDescent="0.25">
      <c r="A240" s="40"/>
      <c r="B240" s="40"/>
      <c r="C240" s="40"/>
      <c r="D240" s="40"/>
      <c r="E240" s="41"/>
      <c r="F240" s="41"/>
      <c r="G240" s="40"/>
      <c r="H240" s="40"/>
      <c r="I240" s="40"/>
      <c r="J240" s="40"/>
      <c r="K240" s="40"/>
      <c r="L240" s="40"/>
    </row>
    <row r="241" spans="1:12" ht="15.75" customHeight="1" x14ac:dyDescent="0.25">
      <c r="A241" s="40"/>
      <c r="B241" s="40"/>
      <c r="C241" s="40"/>
      <c r="D241" s="40"/>
      <c r="E241" s="41"/>
      <c r="F241" s="41"/>
      <c r="G241" s="40"/>
      <c r="H241" s="40"/>
      <c r="I241" s="40"/>
      <c r="J241" s="40"/>
      <c r="K241" s="40"/>
      <c r="L241" s="40"/>
    </row>
    <row r="242" spans="1:12" ht="15.75" customHeight="1" x14ac:dyDescent="0.25">
      <c r="A242" s="40"/>
      <c r="B242" s="40"/>
      <c r="C242" s="40"/>
      <c r="D242" s="40"/>
      <c r="E242" s="41"/>
      <c r="F242" s="41"/>
      <c r="G242" s="40"/>
      <c r="H242" s="40"/>
      <c r="I242" s="40"/>
      <c r="J242" s="40"/>
      <c r="K242" s="40"/>
      <c r="L242" s="40"/>
    </row>
    <row r="243" spans="1:12" ht="15.75" customHeight="1" x14ac:dyDescent="0.25">
      <c r="A243" s="40"/>
      <c r="B243" s="40"/>
      <c r="C243" s="40"/>
      <c r="D243" s="40"/>
      <c r="E243" s="41"/>
      <c r="F243" s="41"/>
      <c r="G243" s="40"/>
      <c r="H243" s="40"/>
      <c r="I243" s="40"/>
      <c r="J243" s="40"/>
      <c r="K243" s="40"/>
      <c r="L243" s="40"/>
    </row>
    <row r="244" spans="1:12" ht="15.75" customHeight="1" x14ac:dyDescent="0.25">
      <c r="A244" s="40"/>
      <c r="B244" s="40"/>
      <c r="C244" s="40"/>
      <c r="D244" s="40"/>
      <c r="E244" s="41"/>
      <c r="F244" s="41"/>
      <c r="G244" s="40"/>
      <c r="H244" s="40"/>
      <c r="I244" s="40"/>
      <c r="J244" s="40"/>
      <c r="K244" s="40"/>
      <c r="L244" s="40"/>
    </row>
    <row r="245" spans="1:12" ht="15.75" customHeight="1" x14ac:dyDescent="0.25">
      <c r="A245" s="40"/>
      <c r="B245" s="40"/>
      <c r="C245" s="40"/>
      <c r="D245" s="40"/>
      <c r="E245" s="41"/>
      <c r="F245" s="41"/>
      <c r="G245" s="40"/>
      <c r="H245" s="40"/>
      <c r="I245" s="40"/>
      <c r="J245" s="40"/>
      <c r="K245" s="40"/>
      <c r="L245" s="40"/>
    </row>
    <row r="246" spans="1:12" ht="15.75" customHeight="1" x14ac:dyDescent="0.25">
      <c r="A246" s="40"/>
      <c r="B246" s="40"/>
      <c r="C246" s="40"/>
      <c r="D246" s="40"/>
      <c r="E246" s="41"/>
      <c r="F246" s="41"/>
      <c r="G246" s="40"/>
      <c r="H246" s="40"/>
      <c r="I246" s="40"/>
      <c r="J246" s="40"/>
      <c r="K246" s="40"/>
      <c r="L246" s="40"/>
    </row>
    <row r="247" spans="1:12" ht="15.75" customHeight="1" x14ac:dyDescent="0.25">
      <c r="A247" s="40"/>
      <c r="B247" s="40"/>
      <c r="C247" s="40"/>
      <c r="D247" s="40"/>
      <c r="E247" s="41"/>
      <c r="F247" s="41"/>
      <c r="G247" s="40"/>
      <c r="H247" s="40"/>
      <c r="I247" s="40"/>
      <c r="J247" s="40"/>
      <c r="K247" s="40"/>
      <c r="L247" s="40"/>
    </row>
    <row r="248" spans="1:12" ht="15.75" customHeight="1" x14ac:dyDescent="0.25">
      <c r="A248" s="40"/>
      <c r="B248" s="40"/>
      <c r="C248" s="40"/>
      <c r="D248" s="40"/>
      <c r="E248" s="41"/>
      <c r="F248" s="41"/>
      <c r="G248" s="40"/>
      <c r="H248" s="40"/>
      <c r="I248" s="40"/>
      <c r="J248" s="40"/>
      <c r="K248" s="40"/>
      <c r="L248" s="40"/>
    </row>
    <row r="249" spans="1:12" ht="15.75" customHeight="1" x14ac:dyDescent="0.25">
      <c r="A249" s="40"/>
      <c r="B249" s="40"/>
      <c r="C249" s="40"/>
      <c r="D249" s="40"/>
      <c r="E249" s="41"/>
      <c r="F249" s="41"/>
      <c r="G249" s="40"/>
      <c r="H249" s="40"/>
      <c r="I249" s="40"/>
      <c r="J249" s="40"/>
      <c r="K249" s="40"/>
      <c r="L249" s="40"/>
    </row>
    <row r="250" spans="1:12" ht="15.75" customHeight="1" x14ac:dyDescent="0.25">
      <c r="A250" s="40"/>
      <c r="B250" s="40"/>
      <c r="C250" s="40"/>
      <c r="D250" s="40"/>
      <c r="E250" s="41"/>
      <c r="F250" s="41"/>
      <c r="G250" s="40"/>
      <c r="H250" s="40"/>
      <c r="I250" s="40"/>
      <c r="J250" s="40"/>
      <c r="K250" s="40"/>
      <c r="L250" s="40"/>
    </row>
    <row r="251" spans="1:12" ht="15.75" customHeight="1" x14ac:dyDescent="0.25">
      <c r="A251" s="40"/>
      <c r="B251" s="40"/>
      <c r="C251" s="40"/>
      <c r="D251" s="40"/>
      <c r="E251" s="41"/>
      <c r="F251" s="41"/>
      <c r="G251" s="40"/>
      <c r="H251" s="40"/>
      <c r="I251" s="40"/>
      <c r="J251" s="40"/>
      <c r="K251" s="40"/>
      <c r="L251" s="40"/>
    </row>
    <row r="252" spans="1:12" ht="15.75" customHeight="1" x14ac:dyDescent="0.25">
      <c r="A252" s="40"/>
      <c r="B252" s="40"/>
      <c r="C252" s="40"/>
      <c r="D252" s="40"/>
      <c r="E252" s="41"/>
      <c r="F252" s="41"/>
      <c r="G252" s="40"/>
      <c r="H252" s="40"/>
      <c r="I252" s="40"/>
      <c r="J252" s="40"/>
      <c r="K252" s="40"/>
      <c r="L252" s="40"/>
    </row>
    <row r="253" spans="1:12" ht="15.75" customHeight="1" x14ac:dyDescent="0.25">
      <c r="A253" s="40"/>
      <c r="B253" s="40"/>
      <c r="C253" s="40"/>
      <c r="D253" s="40"/>
      <c r="E253" s="41"/>
      <c r="F253" s="41"/>
      <c r="G253" s="40"/>
      <c r="H253" s="40"/>
      <c r="I253" s="40"/>
      <c r="J253" s="40"/>
      <c r="K253" s="40"/>
      <c r="L253" s="40"/>
    </row>
    <row r="254" spans="1:12" ht="15.75" customHeight="1" x14ac:dyDescent="0.25">
      <c r="A254" s="40"/>
      <c r="B254" s="40"/>
      <c r="C254" s="40"/>
      <c r="D254" s="40"/>
      <c r="E254" s="41"/>
      <c r="F254" s="41"/>
      <c r="G254" s="40"/>
      <c r="H254" s="40"/>
      <c r="I254" s="40"/>
      <c r="J254" s="40"/>
      <c r="K254" s="40"/>
      <c r="L254" s="40"/>
    </row>
    <row r="255" spans="1:12" ht="15.75" customHeight="1" x14ac:dyDescent="0.25">
      <c r="A255" s="40"/>
      <c r="B255" s="40"/>
      <c r="C255" s="40"/>
      <c r="D255" s="40"/>
      <c r="E255" s="41"/>
      <c r="F255" s="41"/>
      <c r="G255" s="40"/>
      <c r="H255" s="40"/>
      <c r="I255" s="40"/>
      <c r="J255" s="40"/>
      <c r="K255" s="40"/>
      <c r="L255" s="40"/>
    </row>
    <row r="256" spans="1:12" ht="15.75" customHeight="1" x14ac:dyDescent="0.25">
      <c r="A256" s="40"/>
      <c r="B256" s="40"/>
      <c r="C256" s="40"/>
      <c r="D256" s="40"/>
      <c r="E256" s="41"/>
      <c r="F256" s="41"/>
      <c r="G256" s="40"/>
      <c r="H256" s="40"/>
      <c r="I256" s="40"/>
      <c r="J256" s="40"/>
      <c r="K256" s="40"/>
      <c r="L256" s="40"/>
    </row>
    <row r="257" spans="1:12" ht="15.75" customHeight="1" x14ac:dyDescent="0.25">
      <c r="A257" s="40"/>
      <c r="B257" s="40"/>
      <c r="C257" s="40"/>
      <c r="D257" s="40"/>
      <c r="E257" s="41"/>
      <c r="F257" s="41"/>
      <c r="G257" s="40"/>
      <c r="H257" s="40"/>
      <c r="I257" s="40"/>
      <c r="J257" s="40"/>
      <c r="K257" s="40"/>
      <c r="L257" s="40"/>
    </row>
    <row r="258" spans="1:12" ht="15.75" customHeight="1" x14ac:dyDescent="0.25">
      <c r="A258" s="40"/>
      <c r="B258" s="40"/>
      <c r="C258" s="40"/>
      <c r="D258" s="40"/>
      <c r="E258" s="41"/>
      <c r="F258" s="41"/>
      <c r="G258" s="40"/>
      <c r="H258" s="40"/>
      <c r="I258" s="40"/>
      <c r="J258" s="40"/>
      <c r="K258" s="40"/>
      <c r="L258" s="40"/>
    </row>
    <row r="259" spans="1:12" ht="15.75" customHeight="1" x14ac:dyDescent="0.25">
      <c r="A259" s="40"/>
      <c r="B259" s="40"/>
      <c r="C259" s="40"/>
      <c r="D259" s="40"/>
      <c r="E259" s="41"/>
      <c r="F259" s="41"/>
      <c r="G259" s="40"/>
      <c r="H259" s="40"/>
      <c r="I259" s="40"/>
      <c r="J259" s="40"/>
      <c r="K259" s="40"/>
      <c r="L259" s="40"/>
    </row>
    <row r="260" spans="1:12" ht="15.75" customHeight="1" x14ac:dyDescent="0.25">
      <c r="A260" s="40"/>
      <c r="B260" s="40"/>
      <c r="C260" s="40"/>
      <c r="D260" s="40"/>
      <c r="E260" s="41"/>
      <c r="F260" s="41"/>
      <c r="G260" s="40"/>
      <c r="H260" s="40"/>
      <c r="I260" s="40"/>
      <c r="J260" s="40"/>
      <c r="K260" s="40"/>
      <c r="L260" s="40"/>
    </row>
    <row r="261" spans="1:12" ht="15.75" customHeight="1" x14ac:dyDescent="0.25">
      <c r="A261" s="40"/>
      <c r="B261" s="40"/>
      <c r="C261" s="40"/>
      <c r="D261" s="40"/>
      <c r="E261" s="41"/>
      <c r="F261" s="41"/>
      <c r="G261" s="40"/>
      <c r="H261" s="40"/>
      <c r="I261" s="40"/>
      <c r="J261" s="40"/>
      <c r="K261" s="40"/>
      <c r="L261" s="40"/>
    </row>
    <row r="262" spans="1:12" ht="15.75" customHeight="1" x14ac:dyDescent="0.25">
      <c r="A262" s="40"/>
      <c r="B262" s="40"/>
      <c r="C262" s="40"/>
      <c r="D262" s="40"/>
      <c r="E262" s="41"/>
      <c r="F262" s="41"/>
      <c r="G262" s="40"/>
      <c r="H262" s="40"/>
      <c r="I262" s="40"/>
      <c r="J262" s="40"/>
      <c r="K262" s="40"/>
      <c r="L262" s="40"/>
    </row>
    <row r="263" spans="1:12" ht="15.75" customHeight="1" x14ac:dyDescent="0.25">
      <c r="A263" s="40"/>
      <c r="B263" s="40"/>
      <c r="C263" s="40"/>
      <c r="D263" s="40"/>
      <c r="E263" s="41"/>
      <c r="F263" s="41"/>
      <c r="G263" s="40"/>
      <c r="H263" s="40"/>
      <c r="I263" s="40"/>
      <c r="J263" s="40"/>
      <c r="K263" s="40"/>
      <c r="L263" s="40"/>
    </row>
    <row r="264" spans="1:12" ht="15.75" customHeight="1" x14ac:dyDescent="0.25">
      <c r="A264" s="40"/>
      <c r="B264" s="40"/>
      <c r="C264" s="40"/>
      <c r="D264" s="40"/>
      <c r="E264" s="41"/>
      <c r="F264" s="41"/>
      <c r="G264" s="40"/>
      <c r="H264" s="40"/>
      <c r="I264" s="40"/>
      <c r="J264" s="40"/>
      <c r="K264" s="40"/>
      <c r="L264" s="40"/>
    </row>
    <row r="265" spans="1:12" ht="15.75" customHeight="1" x14ac:dyDescent="0.25">
      <c r="A265" s="40"/>
      <c r="B265" s="40"/>
      <c r="C265" s="40"/>
      <c r="D265" s="40"/>
      <c r="E265" s="41"/>
      <c r="F265" s="41"/>
      <c r="G265" s="40"/>
      <c r="H265" s="40"/>
      <c r="I265" s="40"/>
      <c r="J265" s="40"/>
      <c r="K265" s="40"/>
      <c r="L265" s="40"/>
    </row>
    <row r="266" spans="1:12" ht="15.75" customHeight="1" x14ac:dyDescent="0.25">
      <c r="A266" s="40"/>
      <c r="B266" s="40"/>
      <c r="C266" s="40"/>
      <c r="D266" s="40"/>
      <c r="E266" s="41"/>
      <c r="F266" s="41"/>
      <c r="G266" s="40"/>
      <c r="H266" s="40"/>
      <c r="I266" s="40"/>
      <c r="J266" s="40"/>
      <c r="K266" s="40"/>
      <c r="L266" s="40"/>
    </row>
    <row r="267" spans="1:12" ht="15.75" customHeight="1" x14ac:dyDescent="0.25">
      <c r="A267" s="40"/>
      <c r="B267" s="40"/>
      <c r="C267" s="40"/>
      <c r="D267" s="40"/>
      <c r="E267" s="41"/>
      <c r="F267" s="41"/>
      <c r="G267" s="40"/>
      <c r="H267" s="40"/>
      <c r="I267" s="40"/>
      <c r="J267" s="40"/>
      <c r="K267" s="40"/>
      <c r="L267" s="40"/>
    </row>
    <row r="268" spans="1:12" ht="15.75" customHeight="1" x14ac:dyDescent="0.25">
      <c r="A268" s="40"/>
      <c r="B268" s="40"/>
      <c r="C268" s="40"/>
      <c r="D268" s="40"/>
      <c r="E268" s="41"/>
      <c r="F268" s="41"/>
      <c r="G268" s="40"/>
      <c r="H268" s="40"/>
      <c r="I268" s="40"/>
      <c r="J268" s="40"/>
      <c r="K268" s="40"/>
      <c r="L268" s="40"/>
    </row>
    <row r="269" spans="1:12" ht="15.75" customHeight="1" x14ac:dyDescent="0.25">
      <c r="A269" s="40"/>
      <c r="B269" s="40"/>
      <c r="C269" s="40"/>
      <c r="D269" s="40"/>
      <c r="E269" s="41"/>
      <c r="F269" s="41"/>
      <c r="G269" s="40"/>
      <c r="H269" s="40"/>
      <c r="I269" s="40"/>
      <c r="J269" s="40"/>
      <c r="K269" s="40"/>
      <c r="L269" s="40"/>
    </row>
    <row r="270" spans="1:12" ht="15.75" customHeight="1" x14ac:dyDescent="0.25">
      <c r="A270" s="40"/>
      <c r="B270" s="40"/>
      <c r="C270" s="40"/>
      <c r="D270" s="40"/>
      <c r="E270" s="41"/>
      <c r="F270" s="41"/>
      <c r="G270" s="40"/>
      <c r="H270" s="40"/>
      <c r="I270" s="40"/>
      <c r="J270" s="40"/>
      <c r="K270" s="40"/>
      <c r="L270" s="40"/>
    </row>
    <row r="271" spans="1:12" ht="15.75" customHeight="1" x14ac:dyDescent="0.25">
      <c r="A271" s="40"/>
      <c r="B271" s="40"/>
      <c r="C271" s="40"/>
      <c r="D271" s="40"/>
      <c r="E271" s="41"/>
      <c r="F271" s="41"/>
      <c r="G271" s="40"/>
      <c r="H271" s="40"/>
      <c r="I271" s="40"/>
      <c r="J271" s="40"/>
      <c r="K271" s="40"/>
      <c r="L271" s="40"/>
    </row>
    <row r="272" spans="1:12" ht="15.75" customHeight="1" x14ac:dyDescent="0.25">
      <c r="A272" s="40"/>
      <c r="B272" s="40"/>
      <c r="C272" s="40"/>
      <c r="D272" s="40"/>
      <c r="E272" s="41"/>
      <c r="F272" s="41"/>
      <c r="G272" s="40"/>
      <c r="H272" s="40"/>
      <c r="I272" s="40"/>
      <c r="J272" s="40"/>
      <c r="K272" s="40"/>
      <c r="L272" s="40"/>
    </row>
    <row r="273" spans="1:12" ht="15.75" customHeight="1" x14ac:dyDescent="0.25">
      <c r="A273" s="40"/>
      <c r="B273" s="40"/>
      <c r="C273" s="40"/>
      <c r="D273" s="40"/>
      <c r="E273" s="41"/>
      <c r="F273" s="41"/>
      <c r="G273" s="40"/>
      <c r="H273" s="40"/>
      <c r="I273" s="40"/>
      <c r="J273" s="40"/>
      <c r="K273" s="40"/>
      <c r="L273" s="40"/>
    </row>
    <row r="274" spans="1:12" ht="15.75" customHeight="1" x14ac:dyDescent="0.25">
      <c r="A274" s="40"/>
      <c r="B274" s="40"/>
      <c r="C274" s="40"/>
      <c r="D274" s="40"/>
      <c r="E274" s="41"/>
      <c r="F274" s="41"/>
      <c r="G274" s="40"/>
      <c r="H274" s="40"/>
      <c r="I274" s="40"/>
      <c r="J274" s="40"/>
      <c r="K274" s="40"/>
      <c r="L274" s="40"/>
    </row>
    <row r="275" spans="1:12" ht="15.75" customHeight="1" x14ac:dyDescent="0.25">
      <c r="A275" s="40"/>
      <c r="B275" s="40"/>
      <c r="C275" s="40"/>
      <c r="D275" s="40"/>
      <c r="E275" s="41"/>
      <c r="F275" s="41"/>
      <c r="G275" s="40"/>
      <c r="H275" s="40"/>
      <c r="I275" s="40"/>
      <c r="J275" s="40"/>
      <c r="K275" s="40"/>
      <c r="L275" s="40"/>
    </row>
    <row r="276" spans="1:12" ht="15.75" customHeight="1" x14ac:dyDescent="0.25">
      <c r="A276" s="40"/>
      <c r="B276" s="40"/>
      <c r="C276" s="40"/>
      <c r="D276" s="40"/>
      <c r="E276" s="41"/>
      <c r="F276" s="41"/>
      <c r="G276" s="40"/>
      <c r="H276" s="40"/>
      <c r="I276" s="40"/>
      <c r="J276" s="40"/>
      <c r="K276" s="40"/>
      <c r="L276" s="40"/>
    </row>
    <row r="277" spans="1:12" ht="15.75" customHeight="1" x14ac:dyDescent="0.25">
      <c r="A277" s="40"/>
      <c r="B277" s="40"/>
      <c r="C277" s="40"/>
      <c r="D277" s="40"/>
      <c r="E277" s="41"/>
      <c r="F277" s="41"/>
      <c r="G277" s="40"/>
      <c r="H277" s="40"/>
      <c r="I277" s="40"/>
      <c r="J277" s="40"/>
      <c r="K277" s="40"/>
      <c r="L277" s="40"/>
    </row>
    <row r="278" spans="1:12" ht="15.75" customHeight="1" x14ac:dyDescent="0.25">
      <c r="A278" s="40"/>
      <c r="B278" s="40"/>
      <c r="C278" s="40"/>
      <c r="D278" s="40"/>
      <c r="E278" s="41"/>
      <c r="F278" s="41"/>
      <c r="G278" s="40"/>
      <c r="H278" s="40"/>
      <c r="I278" s="40"/>
      <c r="J278" s="40"/>
      <c r="K278" s="40"/>
      <c r="L278" s="40"/>
    </row>
    <row r="279" spans="1:12" ht="15.75" customHeight="1" x14ac:dyDescent="0.25">
      <c r="A279" s="40"/>
      <c r="B279" s="40"/>
      <c r="C279" s="40"/>
      <c r="D279" s="40"/>
      <c r="E279" s="41"/>
      <c r="F279" s="41"/>
      <c r="G279" s="40"/>
      <c r="H279" s="40"/>
      <c r="I279" s="40"/>
      <c r="J279" s="40"/>
      <c r="K279" s="40"/>
      <c r="L279" s="40"/>
    </row>
    <row r="280" spans="1:12" ht="15.75" customHeight="1" x14ac:dyDescent="0.25">
      <c r="A280" s="40"/>
      <c r="B280" s="40"/>
      <c r="C280" s="40"/>
      <c r="D280" s="40"/>
      <c r="E280" s="41"/>
      <c r="F280" s="41"/>
      <c r="G280" s="40"/>
      <c r="H280" s="40"/>
      <c r="I280" s="40"/>
      <c r="J280" s="40"/>
      <c r="K280" s="40"/>
      <c r="L280" s="40"/>
    </row>
    <row r="281" spans="1:12" ht="15.75" customHeight="1" x14ac:dyDescent="0.25">
      <c r="A281" s="40"/>
      <c r="B281" s="40"/>
      <c r="C281" s="40"/>
      <c r="D281" s="40"/>
      <c r="E281" s="41"/>
      <c r="F281" s="41"/>
      <c r="G281" s="40"/>
      <c r="H281" s="40"/>
      <c r="I281" s="40"/>
      <c r="J281" s="40"/>
      <c r="K281" s="40"/>
      <c r="L281" s="40"/>
    </row>
    <row r="282" spans="1:12" ht="15.75" customHeight="1" x14ac:dyDescent="0.25">
      <c r="A282" s="40"/>
      <c r="B282" s="40"/>
      <c r="C282" s="40"/>
      <c r="D282" s="40"/>
      <c r="E282" s="41"/>
      <c r="F282" s="41"/>
      <c r="G282" s="40"/>
      <c r="H282" s="40"/>
      <c r="I282" s="40"/>
      <c r="J282" s="40"/>
      <c r="K282" s="40"/>
      <c r="L282" s="40"/>
    </row>
    <row r="283" spans="1:12" ht="15.75" customHeight="1" x14ac:dyDescent="0.25">
      <c r="A283" s="40"/>
      <c r="B283" s="40"/>
      <c r="C283" s="40"/>
      <c r="D283" s="40"/>
      <c r="E283" s="41"/>
      <c r="F283" s="41"/>
      <c r="G283" s="40"/>
      <c r="H283" s="40"/>
      <c r="I283" s="40"/>
      <c r="J283" s="40"/>
      <c r="K283" s="40"/>
      <c r="L283" s="40"/>
    </row>
    <row r="284" spans="1:12" ht="15.75" customHeight="1" x14ac:dyDescent="0.25">
      <c r="A284" s="40"/>
      <c r="B284" s="40"/>
      <c r="C284" s="40"/>
      <c r="D284" s="40"/>
      <c r="E284" s="41"/>
      <c r="F284" s="41"/>
      <c r="G284" s="40"/>
      <c r="H284" s="40"/>
      <c r="I284" s="40"/>
      <c r="J284" s="40"/>
      <c r="K284" s="40"/>
      <c r="L284" s="40"/>
    </row>
    <row r="285" spans="1:12" ht="15.75" customHeight="1" x14ac:dyDescent="0.25">
      <c r="A285" s="40"/>
      <c r="B285" s="40"/>
      <c r="C285" s="40"/>
      <c r="D285" s="40"/>
      <c r="E285" s="41"/>
      <c r="F285" s="41"/>
      <c r="G285" s="40"/>
      <c r="H285" s="40"/>
      <c r="I285" s="40"/>
      <c r="J285" s="40"/>
      <c r="K285" s="40"/>
      <c r="L285" s="40"/>
    </row>
    <row r="286" spans="1:12" ht="15.75" customHeight="1" x14ac:dyDescent="0.25">
      <c r="A286" s="40"/>
      <c r="B286" s="40"/>
      <c r="C286" s="40"/>
      <c r="D286" s="40"/>
      <c r="E286" s="41"/>
      <c r="F286" s="41"/>
      <c r="G286" s="40"/>
      <c r="H286" s="40"/>
      <c r="I286" s="40"/>
      <c r="J286" s="40"/>
      <c r="K286" s="40"/>
      <c r="L286" s="40"/>
    </row>
    <row r="287" spans="1:12" ht="15.75" customHeight="1" x14ac:dyDescent="0.25">
      <c r="A287" s="40"/>
      <c r="B287" s="40"/>
      <c r="C287" s="40"/>
      <c r="D287" s="40"/>
      <c r="E287" s="41"/>
      <c r="F287" s="41"/>
      <c r="G287" s="40"/>
      <c r="H287" s="40"/>
      <c r="I287" s="40"/>
      <c r="J287" s="40"/>
      <c r="K287" s="40"/>
      <c r="L287" s="40"/>
    </row>
    <row r="288" spans="1:12" ht="15.75" customHeight="1" x14ac:dyDescent="0.25">
      <c r="A288" s="40"/>
      <c r="B288" s="40"/>
      <c r="C288" s="40"/>
      <c r="D288" s="40"/>
      <c r="E288" s="41"/>
      <c r="F288" s="41"/>
      <c r="G288" s="40"/>
      <c r="H288" s="40"/>
      <c r="I288" s="40"/>
      <c r="J288" s="40"/>
      <c r="K288" s="40"/>
      <c r="L288" s="40"/>
    </row>
    <row r="289" spans="1:12" ht="15.75" customHeight="1" x14ac:dyDescent="0.25">
      <c r="A289" s="40"/>
      <c r="B289" s="40"/>
      <c r="C289" s="40"/>
      <c r="D289" s="40"/>
      <c r="E289" s="41"/>
      <c r="F289" s="41"/>
      <c r="G289" s="40"/>
      <c r="H289" s="40"/>
      <c r="I289" s="40"/>
      <c r="J289" s="40"/>
      <c r="K289" s="40"/>
      <c r="L289" s="40"/>
    </row>
    <row r="290" spans="1:12" ht="15.75" customHeight="1" x14ac:dyDescent="0.25">
      <c r="A290" s="40"/>
      <c r="B290" s="40"/>
      <c r="C290" s="40"/>
      <c r="D290" s="40"/>
      <c r="E290" s="41"/>
      <c r="F290" s="41"/>
      <c r="G290" s="40"/>
      <c r="H290" s="40"/>
      <c r="I290" s="40"/>
      <c r="J290" s="40"/>
      <c r="K290" s="40"/>
      <c r="L290" s="40"/>
    </row>
    <row r="291" spans="1:12" ht="15.75" customHeight="1" x14ac:dyDescent="0.25">
      <c r="A291" s="40"/>
      <c r="B291" s="40"/>
      <c r="C291" s="40"/>
      <c r="D291" s="40"/>
      <c r="E291" s="41"/>
      <c r="F291" s="41"/>
      <c r="G291" s="40"/>
      <c r="H291" s="40"/>
      <c r="I291" s="40"/>
      <c r="J291" s="40"/>
      <c r="K291" s="40"/>
      <c r="L291" s="40"/>
    </row>
    <row r="292" spans="1:12" ht="15.75" customHeight="1" x14ac:dyDescent="0.25">
      <c r="A292" s="40"/>
      <c r="B292" s="40"/>
      <c r="C292" s="40"/>
      <c r="D292" s="40"/>
      <c r="E292" s="41"/>
      <c r="F292" s="41"/>
      <c r="G292" s="40"/>
      <c r="H292" s="40"/>
      <c r="I292" s="40"/>
      <c r="J292" s="40"/>
      <c r="K292" s="40"/>
      <c r="L292" s="40"/>
    </row>
    <row r="293" spans="1:12" ht="15.75" customHeight="1" x14ac:dyDescent="0.25">
      <c r="A293" s="40"/>
      <c r="B293" s="40"/>
      <c r="C293" s="40"/>
      <c r="D293" s="40"/>
      <c r="E293" s="41"/>
      <c r="F293" s="41"/>
      <c r="G293" s="40"/>
      <c r="H293" s="40"/>
      <c r="I293" s="40"/>
      <c r="J293" s="40"/>
      <c r="K293" s="40"/>
      <c r="L293" s="40"/>
    </row>
    <row r="294" spans="1:12" ht="15.75" customHeight="1" x14ac:dyDescent="0.25">
      <c r="A294" s="40"/>
      <c r="B294" s="40"/>
      <c r="C294" s="40"/>
      <c r="D294" s="40"/>
      <c r="E294" s="41"/>
      <c r="F294" s="41"/>
      <c r="G294" s="40"/>
      <c r="H294" s="40"/>
      <c r="I294" s="40"/>
      <c r="J294" s="40"/>
      <c r="K294" s="40"/>
      <c r="L294" s="40"/>
    </row>
    <row r="295" spans="1:12" ht="15.75" customHeight="1" x14ac:dyDescent="0.25">
      <c r="A295" s="40"/>
      <c r="B295" s="40"/>
      <c r="C295" s="40"/>
      <c r="D295" s="40"/>
      <c r="E295" s="41"/>
      <c r="F295" s="41"/>
      <c r="G295" s="40"/>
      <c r="H295" s="40"/>
      <c r="I295" s="40"/>
      <c r="J295" s="40"/>
      <c r="K295" s="40"/>
      <c r="L295" s="40"/>
    </row>
    <row r="296" spans="1:12" ht="15.75" customHeight="1" x14ac:dyDescent="0.25">
      <c r="A296" s="40"/>
      <c r="B296" s="40"/>
      <c r="C296" s="40"/>
      <c r="D296" s="40"/>
      <c r="E296" s="41"/>
      <c r="F296" s="41"/>
      <c r="G296" s="40"/>
      <c r="H296" s="40"/>
      <c r="I296" s="40"/>
      <c r="J296" s="40"/>
      <c r="K296" s="40"/>
      <c r="L296" s="40"/>
    </row>
    <row r="297" spans="1:12" ht="15.75" customHeight="1" x14ac:dyDescent="0.25">
      <c r="A297" s="40"/>
      <c r="B297" s="40"/>
      <c r="C297" s="40"/>
      <c r="D297" s="40"/>
      <c r="E297" s="41"/>
      <c r="F297" s="41"/>
      <c r="G297" s="40"/>
      <c r="H297" s="40"/>
      <c r="I297" s="40"/>
      <c r="J297" s="40"/>
      <c r="K297" s="40"/>
      <c r="L297" s="40"/>
    </row>
    <row r="298" spans="1:12" ht="15.75" customHeight="1" x14ac:dyDescent="0.25">
      <c r="A298" s="40"/>
      <c r="B298" s="40"/>
      <c r="C298" s="40"/>
      <c r="D298" s="40"/>
      <c r="E298" s="41"/>
      <c r="F298" s="41"/>
      <c r="G298" s="40"/>
      <c r="H298" s="40"/>
      <c r="I298" s="40"/>
      <c r="J298" s="40"/>
      <c r="K298" s="40"/>
      <c r="L298" s="40"/>
    </row>
    <row r="299" spans="1:12" ht="15.75" customHeight="1" x14ac:dyDescent="0.25">
      <c r="A299" s="40"/>
      <c r="B299" s="40"/>
      <c r="C299" s="40"/>
      <c r="D299" s="40"/>
      <c r="E299" s="41"/>
      <c r="F299" s="41"/>
      <c r="G299" s="40"/>
      <c r="H299" s="40"/>
      <c r="I299" s="40"/>
      <c r="J299" s="40"/>
      <c r="K299" s="40"/>
      <c r="L299" s="40"/>
    </row>
    <row r="300" spans="1:12" ht="15.75" customHeight="1" x14ac:dyDescent="0.25">
      <c r="A300" s="40"/>
      <c r="B300" s="40"/>
      <c r="C300" s="40"/>
      <c r="D300" s="40"/>
      <c r="E300" s="41"/>
      <c r="F300" s="41"/>
      <c r="G300" s="40"/>
      <c r="H300" s="40"/>
      <c r="I300" s="40"/>
      <c r="J300" s="40"/>
      <c r="K300" s="40"/>
      <c r="L300" s="40"/>
    </row>
    <row r="301" spans="1:12" ht="15.75" customHeight="1" x14ac:dyDescent="0.25">
      <c r="A301" s="40"/>
      <c r="B301" s="40"/>
      <c r="C301" s="40"/>
      <c r="D301" s="40"/>
      <c r="E301" s="41"/>
      <c r="F301" s="41"/>
      <c r="G301" s="40"/>
      <c r="H301" s="40"/>
      <c r="I301" s="40"/>
      <c r="J301" s="40"/>
      <c r="K301" s="40"/>
      <c r="L301" s="40"/>
    </row>
    <row r="302" spans="1:12" ht="15.75" customHeight="1" x14ac:dyDescent="0.25">
      <c r="A302" s="40"/>
      <c r="B302" s="40"/>
      <c r="C302" s="40"/>
      <c r="D302" s="40"/>
      <c r="E302" s="41"/>
      <c r="F302" s="41"/>
      <c r="G302" s="40"/>
      <c r="H302" s="40"/>
      <c r="I302" s="40"/>
      <c r="J302" s="40"/>
      <c r="K302" s="40"/>
      <c r="L302" s="40"/>
    </row>
    <row r="303" spans="1:12" ht="15.75" customHeight="1" x14ac:dyDescent="0.25">
      <c r="A303" s="40"/>
      <c r="B303" s="40"/>
      <c r="C303" s="40"/>
      <c r="D303" s="40"/>
      <c r="E303" s="41"/>
      <c r="F303" s="41"/>
      <c r="G303" s="40"/>
      <c r="H303" s="40"/>
      <c r="I303" s="40"/>
      <c r="J303" s="40"/>
      <c r="K303" s="40"/>
      <c r="L303" s="40"/>
    </row>
    <row r="304" spans="1:12" ht="15.75" customHeight="1" x14ac:dyDescent="0.25">
      <c r="A304" s="40"/>
      <c r="B304" s="40"/>
      <c r="C304" s="40"/>
      <c r="D304" s="40"/>
      <c r="E304" s="41"/>
      <c r="F304" s="41"/>
      <c r="G304" s="40"/>
      <c r="H304" s="40"/>
      <c r="I304" s="40"/>
      <c r="J304" s="40"/>
      <c r="K304" s="40"/>
      <c r="L304" s="40"/>
    </row>
    <row r="305" spans="1:12" ht="15.75" customHeight="1" x14ac:dyDescent="0.25">
      <c r="A305" s="40"/>
      <c r="B305" s="40"/>
      <c r="C305" s="40"/>
      <c r="D305" s="40"/>
      <c r="E305" s="41"/>
      <c r="F305" s="41"/>
      <c r="G305" s="40"/>
      <c r="H305" s="40"/>
      <c r="I305" s="40"/>
      <c r="J305" s="40"/>
      <c r="K305" s="40"/>
      <c r="L305" s="40"/>
    </row>
    <row r="306" spans="1:12" ht="15.75" customHeight="1" x14ac:dyDescent="0.25">
      <c r="A306" s="40"/>
      <c r="B306" s="40"/>
      <c r="C306" s="40"/>
      <c r="D306" s="40"/>
      <c r="E306" s="41"/>
      <c r="F306" s="41"/>
      <c r="G306" s="40"/>
      <c r="H306" s="40"/>
      <c r="I306" s="40"/>
      <c r="J306" s="40"/>
      <c r="K306" s="40"/>
      <c r="L306" s="40"/>
    </row>
    <row r="307" spans="1:12" ht="15.75" customHeight="1" x14ac:dyDescent="0.25">
      <c r="A307" s="40"/>
      <c r="B307" s="40"/>
      <c r="C307" s="40"/>
      <c r="D307" s="40"/>
      <c r="E307" s="41"/>
      <c r="F307" s="41"/>
      <c r="G307" s="40"/>
      <c r="H307" s="40"/>
      <c r="I307" s="40"/>
      <c r="J307" s="40"/>
      <c r="K307" s="40"/>
      <c r="L307" s="40"/>
    </row>
    <row r="308" spans="1:12" ht="15.75" customHeight="1" x14ac:dyDescent="0.25">
      <c r="A308" s="40"/>
      <c r="B308" s="40"/>
      <c r="C308" s="40"/>
      <c r="D308" s="40"/>
      <c r="E308" s="41"/>
      <c r="F308" s="41"/>
      <c r="G308" s="40"/>
      <c r="H308" s="40"/>
      <c r="I308" s="40"/>
      <c r="J308" s="40"/>
      <c r="K308" s="40"/>
      <c r="L308" s="40"/>
    </row>
    <row r="309" spans="1:12" ht="15.75" customHeight="1" x14ac:dyDescent="0.25">
      <c r="A309" s="40"/>
      <c r="B309" s="40"/>
      <c r="C309" s="40"/>
      <c r="D309" s="40"/>
      <c r="E309" s="41"/>
      <c r="F309" s="41"/>
      <c r="G309" s="40"/>
      <c r="H309" s="40"/>
      <c r="I309" s="40"/>
      <c r="J309" s="40"/>
      <c r="K309" s="40"/>
      <c r="L309" s="40"/>
    </row>
    <row r="310" spans="1:12" ht="15.75" customHeight="1" x14ac:dyDescent="0.25">
      <c r="A310" s="40"/>
      <c r="B310" s="40"/>
      <c r="C310" s="40"/>
      <c r="D310" s="40"/>
      <c r="E310" s="41"/>
      <c r="F310" s="41"/>
      <c r="G310" s="40"/>
      <c r="H310" s="40"/>
      <c r="I310" s="40"/>
      <c r="J310" s="40"/>
      <c r="K310" s="40"/>
      <c r="L310" s="40"/>
    </row>
    <row r="311" spans="1:12" ht="15.75" customHeight="1" x14ac:dyDescent="0.25">
      <c r="A311" s="40"/>
      <c r="B311" s="40"/>
      <c r="C311" s="40"/>
      <c r="D311" s="40"/>
      <c r="E311" s="41"/>
      <c r="F311" s="41"/>
      <c r="G311" s="40"/>
      <c r="H311" s="40"/>
      <c r="I311" s="40"/>
      <c r="J311" s="40"/>
      <c r="K311" s="40"/>
      <c r="L311" s="40"/>
    </row>
    <row r="312" spans="1:12" ht="15.75" customHeight="1" x14ac:dyDescent="0.25">
      <c r="A312" s="40"/>
      <c r="B312" s="40"/>
      <c r="C312" s="40"/>
      <c r="D312" s="40"/>
      <c r="E312" s="41"/>
      <c r="F312" s="41"/>
      <c r="G312" s="40"/>
      <c r="H312" s="40"/>
      <c r="I312" s="40"/>
      <c r="J312" s="40"/>
      <c r="K312" s="40"/>
      <c r="L312" s="40"/>
    </row>
    <row r="313" spans="1:12" ht="15.75" customHeight="1" x14ac:dyDescent="0.25">
      <c r="A313" s="40"/>
      <c r="B313" s="40"/>
      <c r="C313" s="40"/>
      <c r="D313" s="40"/>
      <c r="E313" s="41"/>
      <c r="F313" s="41"/>
      <c r="G313" s="40"/>
      <c r="H313" s="40"/>
      <c r="I313" s="40"/>
      <c r="J313" s="40"/>
      <c r="K313" s="40"/>
      <c r="L313" s="40"/>
    </row>
    <row r="314" spans="1:12" ht="15.75" customHeight="1" x14ac:dyDescent="0.25">
      <c r="A314" s="40"/>
      <c r="B314" s="40"/>
      <c r="C314" s="40"/>
      <c r="D314" s="40"/>
      <c r="E314" s="41"/>
      <c r="F314" s="41"/>
      <c r="G314" s="40"/>
      <c r="H314" s="40"/>
      <c r="I314" s="40"/>
      <c r="J314" s="40"/>
      <c r="K314" s="40"/>
      <c r="L314" s="40"/>
    </row>
    <row r="315" spans="1:12" ht="15.75" customHeight="1" x14ac:dyDescent="0.25">
      <c r="A315" s="40"/>
      <c r="B315" s="40"/>
      <c r="C315" s="40"/>
      <c r="D315" s="40"/>
      <c r="E315" s="41"/>
      <c r="F315" s="41"/>
      <c r="G315" s="40"/>
      <c r="H315" s="40"/>
      <c r="I315" s="40"/>
      <c r="J315" s="40"/>
      <c r="K315" s="40"/>
      <c r="L315" s="40"/>
    </row>
    <row r="316" spans="1:12" ht="15.75" customHeight="1" x14ac:dyDescent="0.25">
      <c r="A316" s="40"/>
      <c r="B316" s="40"/>
      <c r="C316" s="40"/>
      <c r="D316" s="40"/>
      <c r="E316" s="41"/>
      <c r="F316" s="41"/>
      <c r="G316" s="40"/>
      <c r="H316" s="40"/>
      <c r="I316" s="40"/>
      <c r="J316" s="40"/>
      <c r="K316" s="40"/>
      <c r="L316" s="40"/>
    </row>
    <row r="317" spans="1:12" ht="15.75" customHeight="1" x14ac:dyDescent="0.25">
      <c r="A317" s="40"/>
      <c r="B317" s="40"/>
      <c r="C317" s="40"/>
      <c r="D317" s="40"/>
      <c r="E317" s="41"/>
      <c r="F317" s="41"/>
      <c r="G317" s="40"/>
      <c r="H317" s="40"/>
      <c r="I317" s="40"/>
      <c r="J317" s="40"/>
      <c r="K317" s="40"/>
      <c r="L317" s="40"/>
    </row>
    <row r="318" spans="1:12" ht="15.75" customHeight="1" x14ac:dyDescent="0.25">
      <c r="A318" s="40"/>
      <c r="B318" s="40"/>
      <c r="C318" s="40"/>
      <c r="D318" s="40"/>
      <c r="E318" s="41"/>
      <c r="F318" s="41"/>
      <c r="G318" s="40"/>
      <c r="H318" s="40"/>
      <c r="I318" s="40"/>
      <c r="J318" s="40"/>
      <c r="K318" s="40"/>
      <c r="L318" s="40"/>
    </row>
    <row r="319" spans="1:12" ht="15.75" customHeight="1" x14ac:dyDescent="0.25">
      <c r="A319" s="40"/>
      <c r="B319" s="40"/>
      <c r="C319" s="40"/>
      <c r="D319" s="40"/>
      <c r="E319" s="41"/>
      <c r="F319" s="41"/>
      <c r="G319" s="40"/>
      <c r="H319" s="40"/>
      <c r="I319" s="40"/>
      <c r="J319" s="40"/>
      <c r="K319" s="40"/>
      <c r="L319" s="40"/>
    </row>
    <row r="320" spans="1:12" ht="15.75" customHeight="1" x14ac:dyDescent="0.25">
      <c r="A320" s="40"/>
      <c r="B320" s="40"/>
      <c r="C320" s="40"/>
      <c r="D320" s="40"/>
      <c r="E320" s="41"/>
      <c r="F320" s="41"/>
      <c r="G320" s="40"/>
      <c r="H320" s="40"/>
      <c r="I320" s="40"/>
      <c r="J320" s="40"/>
      <c r="K320" s="40"/>
      <c r="L320" s="40"/>
    </row>
    <row r="321" spans="1:12" ht="15.75" customHeight="1" x14ac:dyDescent="0.25">
      <c r="A321" s="40"/>
      <c r="B321" s="40"/>
      <c r="C321" s="40"/>
      <c r="D321" s="40"/>
      <c r="E321" s="41"/>
      <c r="F321" s="41"/>
      <c r="G321" s="40"/>
      <c r="H321" s="40"/>
      <c r="I321" s="40"/>
      <c r="J321" s="40"/>
      <c r="K321" s="40"/>
      <c r="L321" s="40"/>
    </row>
    <row r="322" spans="1:12" ht="15.75" customHeight="1" x14ac:dyDescent="0.25">
      <c r="A322" s="40"/>
      <c r="B322" s="40"/>
      <c r="C322" s="40"/>
      <c r="D322" s="40"/>
      <c r="E322" s="41"/>
      <c r="F322" s="41"/>
      <c r="G322" s="40"/>
      <c r="H322" s="40"/>
      <c r="I322" s="40"/>
      <c r="J322" s="40"/>
      <c r="K322" s="40"/>
      <c r="L322" s="40"/>
    </row>
    <row r="323" spans="1:12" ht="15.75" customHeight="1" x14ac:dyDescent="0.25">
      <c r="A323" s="40"/>
      <c r="B323" s="40"/>
      <c r="C323" s="40"/>
      <c r="D323" s="40"/>
      <c r="E323" s="41"/>
      <c r="F323" s="41"/>
      <c r="G323" s="40"/>
      <c r="H323" s="40"/>
      <c r="I323" s="40"/>
      <c r="J323" s="40"/>
      <c r="K323" s="40"/>
      <c r="L323" s="40"/>
    </row>
    <row r="324" spans="1:12" ht="15.75" customHeight="1" x14ac:dyDescent="0.25">
      <c r="A324" s="40"/>
      <c r="B324" s="40"/>
      <c r="C324" s="40"/>
      <c r="D324" s="40"/>
      <c r="E324" s="41"/>
      <c r="F324" s="41"/>
      <c r="G324" s="40"/>
      <c r="H324" s="40"/>
      <c r="I324" s="40"/>
      <c r="J324" s="40"/>
      <c r="K324" s="40"/>
      <c r="L324" s="40"/>
    </row>
    <row r="325" spans="1:12" ht="15.75" customHeight="1" x14ac:dyDescent="0.25">
      <c r="A325" s="40"/>
      <c r="B325" s="40"/>
      <c r="C325" s="40"/>
      <c r="D325" s="40"/>
      <c r="E325" s="41"/>
      <c r="F325" s="41"/>
      <c r="G325" s="40"/>
      <c r="H325" s="40"/>
      <c r="I325" s="40"/>
      <c r="J325" s="40"/>
      <c r="K325" s="40"/>
      <c r="L325" s="40"/>
    </row>
    <row r="326" spans="1:12" ht="15.75" customHeight="1" x14ac:dyDescent="0.25">
      <c r="A326" s="40"/>
      <c r="B326" s="40"/>
      <c r="C326" s="40"/>
      <c r="D326" s="40"/>
      <c r="E326" s="41"/>
      <c r="F326" s="41"/>
      <c r="G326" s="40"/>
      <c r="H326" s="40"/>
      <c r="I326" s="40"/>
      <c r="J326" s="40"/>
      <c r="K326" s="40"/>
      <c r="L326" s="40"/>
    </row>
    <row r="327" spans="1:12" ht="15.75" customHeight="1" x14ac:dyDescent="0.25">
      <c r="A327" s="40"/>
      <c r="B327" s="40"/>
      <c r="C327" s="40"/>
      <c r="D327" s="40"/>
      <c r="E327" s="41"/>
      <c r="F327" s="41"/>
      <c r="G327" s="40"/>
      <c r="H327" s="40"/>
      <c r="I327" s="40"/>
      <c r="J327" s="40"/>
      <c r="K327" s="40"/>
      <c r="L327" s="40"/>
    </row>
    <row r="328" spans="1:12" ht="15.75" customHeight="1" x14ac:dyDescent="0.25">
      <c r="A328" s="40"/>
      <c r="B328" s="40"/>
      <c r="C328" s="40"/>
      <c r="D328" s="40"/>
      <c r="E328" s="41"/>
      <c r="F328" s="41"/>
      <c r="G328" s="40"/>
      <c r="H328" s="40"/>
      <c r="I328" s="40"/>
      <c r="J328" s="40"/>
      <c r="K328" s="40"/>
      <c r="L328" s="40"/>
    </row>
    <row r="329" spans="1:12" ht="15.75" customHeight="1" x14ac:dyDescent="0.25">
      <c r="A329" s="40"/>
      <c r="B329" s="40"/>
      <c r="C329" s="40"/>
      <c r="D329" s="40"/>
      <c r="E329" s="41"/>
      <c r="F329" s="41"/>
      <c r="G329" s="40"/>
      <c r="H329" s="40"/>
      <c r="I329" s="40"/>
      <c r="J329" s="40"/>
      <c r="K329" s="40"/>
      <c r="L329" s="40"/>
    </row>
    <row r="330" spans="1:12" ht="15.75" customHeight="1" x14ac:dyDescent="0.25">
      <c r="A330" s="40"/>
      <c r="B330" s="40"/>
      <c r="C330" s="40"/>
      <c r="D330" s="40"/>
      <c r="E330" s="41"/>
      <c r="F330" s="41"/>
      <c r="G330" s="40"/>
      <c r="H330" s="40"/>
      <c r="I330" s="40"/>
      <c r="J330" s="40"/>
      <c r="K330" s="40"/>
      <c r="L330" s="40"/>
    </row>
    <row r="331" spans="1:12" ht="15.75" customHeight="1" x14ac:dyDescent="0.25">
      <c r="A331" s="40"/>
      <c r="B331" s="40"/>
      <c r="C331" s="40"/>
      <c r="D331" s="40"/>
      <c r="E331" s="41"/>
      <c r="F331" s="41"/>
      <c r="G331" s="40"/>
      <c r="H331" s="40"/>
      <c r="I331" s="40"/>
      <c r="J331" s="40"/>
      <c r="K331" s="40"/>
      <c r="L331" s="40"/>
    </row>
    <row r="332" spans="1:12" ht="15.75" customHeight="1" x14ac:dyDescent="0.25">
      <c r="A332" s="40"/>
      <c r="B332" s="40"/>
      <c r="C332" s="40"/>
      <c r="D332" s="40"/>
      <c r="E332" s="41"/>
      <c r="F332" s="41"/>
      <c r="G332" s="40"/>
      <c r="H332" s="40"/>
      <c r="I332" s="40"/>
      <c r="J332" s="40"/>
      <c r="K332" s="40"/>
      <c r="L332" s="40"/>
    </row>
    <row r="333" spans="1:12" ht="15.75" customHeight="1" x14ac:dyDescent="0.25">
      <c r="A333" s="40"/>
      <c r="B333" s="40"/>
      <c r="C333" s="40"/>
      <c r="D333" s="40"/>
      <c r="E333" s="41"/>
      <c r="F333" s="41"/>
      <c r="G333" s="40"/>
      <c r="H333" s="40"/>
      <c r="I333" s="40"/>
      <c r="J333" s="40"/>
      <c r="K333" s="40"/>
      <c r="L333" s="40"/>
    </row>
    <row r="334" spans="1:12" ht="15.75" customHeight="1" x14ac:dyDescent="0.25">
      <c r="A334" s="40"/>
      <c r="B334" s="40"/>
      <c r="C334" s="40"/>
      <c r="D334" s="40"/>
      <c r="E334" s="41"/>
      <c r="F334" s="41"/>
      <c r="G334" s="40"/>
      <c r="H334" s="40"/>
      <c r="I334" s="40"/>
      <c r="J334" s="40"/>
      <c r="K334" s="40"/>
      <c r="L334" s="40"/>
    </row>
    <row r="335" spans="1:12" ht="15.75" customHeight="1" x14ac:dyDescent="0.25">
      <c r="A335" s="40"/>
      <c r="B335" s="40"/>
      <c r="C335" s="40"/>
      <c r="D335" s="40"/>
      <c r="E335" s="41"/>
      <c r="F335" s="41"/>
      <c r="G335" s="40"/>
      <c r="H335" s="40"/>
      <c r="I335" s="40"/>
      <c r="J335" s="40"/>
      <c r="K335" s="40"/>
      <c r="L335" s="40"/>
    </row>
    <row r="336" spans="1:12" ht="15.75" customHeight="1" x14ac:dyDescent="0.25">
      <c r="A336" s="40"/>
      <c r="B336" s="40"/>
      <c r="C336" s="40"/>
      <c r="D336" s="40"/>
      <c r="E336" s="41"/>
      <c r="F336" s="41"/>
      <c r="G336" s="40"/>
      <c r="H336" s="40"/>
      <c r="I336" s="40"/>
      <c r="J336" s="40"/>
      <c r="K336" s="40"/>
      <c r="L336" s="40"/>
    </row>
    <row r="337" spans="1:12" ht="15.75" customHeight="1" x14ac:dyDescent="0.25">
      <c r="A337" s="40"/>
      <c r="B337" s="40"/>
      <c r="C337" s="40"/>
      <c r="D337" s="40"/>
      <c r="E337" s="41"/>
      <c r="F337" s="41"/>
      <c r="G337" s="40"/>
      <c r="H337" s="40"/>
      <c r="I337" s="40"/>
      <c r="J337" s="40"/>
      <c r="K337" s="40"/>
      <c r="L337" s="40"/>
    </row>
    <row r="338" spans="1:12" ht="15.75" customHeight="1" x14ac:dyDescent="0.25">
      <c r="A338" s="40"/>
      <c r="B338" s="40"/>
      <c r="C338" s="40"/>
      <c r="D338" s="40"/>
      <c r="E338" s="41"/>
      <c r="F338" s="41"/>
      <c r="G338" s="40"/>
      <c r="H338" s="40"/>
      <c r="I338" s="40"/>
      <c r="J338" s="40"/>
      <c r="K338" s="40"/>
      <c r="L338" s="40"/>
    </row>
    <row r="339" spans="1:12" ht="15.75" customHeight="1" x14ac:dyDescent="0.25">
      <c r="A339" s="40"/>
      <c r="B339" s="40"/>
      <c r="C339" s="40"/>
      <c r="D339" s="40"/>
      <c r="E339" s="41"/>
      <c r="F339" s="41"/>
      <c r="G339" s="40"/>
      <c r="H339" s="40"/>
      <c r="I339" s="40"/>
      <c r="J339" s="40"/>
      <c r="K339" s="40"/>
      <c r="L339" s="40"/>
    </row>
    <row r="340" spans="1:12" ht="15.75" customHeight="1" x14ac:dyDescent="0.25">
      <c r="A340" s="40"/>
      <c r="B340" s="40"/>
      <c r="C340" s="40"/>
      <c r="D340" s="40"/>
      <c r="E340" s="41"/>
      <c r="F340" s="41"/>
      <c r="G340" s="40"/>
      <c r="H340" s="40"/>
      <c r="I340" s="40"/>
      <c r="J340" s="40"/>
      <c r="K340" s="40"/>
      <c r="L340" s="40"/>
    </row>
    <row r="341" spans="1:12" ht="15.75" customHeight="1" x14ac:dyDescent="0.25">
      <c r="A341" s="40"/>
      <c r="B341" s="40"/>
      <c r="C341" s="40"/>
      <c r="D341" s="40"/>
      <c r="E341" s="41"/>
      <c r="F341" s="41"/>
      <c r="G341" s="40"/>
      <c r="H341" s="40"/>
      <c r="I341" s="40"/>
      <c r="J341" s="40"/>
      <c r="K341" s="40"/>
      <c r="L341" s="40"/>
    </row>
    <row r="342" spans="1:12" ht="15.75" customHeight="1" x14ac:dyDescent="0.25">
      <c r="A342" s="40"/>
      <c r="B342" s="40"/>
      <c r="C342" s="40"/>
      <c r="D342" s="40"/>
      <c r="E342" s="41"/>
      <c r="F342" s="41"/>
      <c r="G342" s="40"/>
      <c r="H342" s="40"/>
      <c r="I342" s="40"/>
      <c r="J342" s="40"/>
      <c r="K342" s="40"/>
      <c r="L342" s="40"/>
    </row>
    <row r="343" spans="1:12" ht="15.75" customHeight="1" x14ac:dyDescent="0.25">
      <c r="A343" s="40"/>
      <c r="B343" s="40"/>
      <c r="C343" s="40"/>
      <c r="D343" s="40"/>
      <c r="E343" s="41"/>
      <c r="F343" s="41"/>
      <c r="G343" s="40"/>
      <c r="H343" s="40"/>
      <c r="I343" s="40"/>
      <c r="J343" s="40"/>
      <c r="K343" s="40"/>
      <c r="L343" s="40"/>
    </row>
    <row r="344" spans="1:12" ht="15.75" customHeight="1" x14ac:dyDescent="0.25">
      <c r="A344" s="40"/>
      <c r="B344" s="40"/>
      <c r="C344" s="40"/>
      <c r="D344" s="40"/>
      <c r="E344" s="41"/>
      <c r="F344" s="41"/>
      <c r="G344" s="40"/>
      <c r="H344" s="40"/>
      <c r="I344" s="40"/>
      <c r="J344" s="40"/>
      <c r="K344" s="40"/>
      <c r="L344" s="40"/>
    </row>
    <row r="345" spans="1:12" ht="15.75" customHeight="1" x14ac:dyDescent="0.25">
      <c r="A345" s="40"/>
      <c r="B345" s="40"/>
      <c r="C345" s="40"/>
      <c r="D345" s="40"/>
      <c r="E345" s="41"/>
      <c r="F345" s="41"/>
      <c r="G345" s="40"/>
      <c r="H345" s="40"/>
      <c r="I345" s="40"/>
      <c r="J345" s="40"/>
      <c r="K345" s="40"/>
      <c r="L345" s="40"/>
    </row>
    <row r="346" spans="1:12" ht="15.75" customHeight="1" x14ac:dyDescent="0.25">
      <c r="A346" s="40"/>
      <c r="B346" s="40"/>
      <c r="C346" s="40"/>
      <c r="D346" s="40"/>
      <c r="E346" s="41"/>
      <c r="F346" s="41"/>
      <c r="G346" s="40"/>
      <c r="H346" s="40"/>
      <c r="I346" s="40"/>
      <c r="J346" s="40"/>
      <c r="K346" s="40"/>
      <c r="L346" s="40"/>
    </row>
    <row r="347" spans="1:12" ht="15.75" customHeight="1" x14ac:dyDescent="0.25">
      <c r="A347" s="40"/>
      <c r="B347" s="40"/>
      <c r="C347" s="40"/>
      <c r="D347" s="40"/>
      <c r="E347" s="41"/>
      <c r="F347" s="41"/>
      <c r="G347" s="40"/>
      <c r="H347" s="40"/>
      <c r="I347" s="40"/>
      <c r="J347" s="40"/>
      <c r="K347" s="40"/>
      <c r="L347" s="40"/>
    </row>
    <row r="348" spans="1:12" ht="15.75" customHeight="1" x14ac:dyDescent="0.25">
      <c r="A348" s="40"/>
      <c r="B348" s="40"/>
      <c r="C348" s="40"/>
      <c r="D348" s="40"/>
      <c r="E348" s="41"/>
      <c r="F348" s="41"/>
      <c r="G348" s="40"/>
      <c r="H348" s="40"/>
      <c r="I348" s="40"/>
      <c r="J348" s="40"/>
      <c r="K348" s="40"/>
      <c r="L348" s="40"/>
    </row>
    <row r="349" spans="1:12" ht="15.75" customHeight="1" x14ac:dyDescent="0.25">
      <c r="A349" s="40"/>
      <c r="B349" s="40"/>
      <c r="C349" s="40"/>
      <c r="D349" s="40"/>
      <c r="E349" s="41"/>
      <c r="F349" s="41"/>
      <c r="G349" s="40"/>
      <c r="H349" s="40"/>
      <c r="I349" s="40"/>
      <c r="J349" s="40"/>
      <c r="K349" s="40"/>
      <c r="L349" s="40"/>
    </row>
    <row r="350" spans="1:12" ht="15.75" customHeight="1" x14ac:dyDescent="0.25">
      <c r="A350" s="40"/>
      <c r="B350" s="40"/>
      <c r="C350" s="40"/>
      <c r="D350" s="40"/>
      <c r="E350" s="41"/>
      <c r="F350" s="41"/>
      <c r="G350" s="40"/>
      <c r="H350" s="40"/>
      <c r="I350" s="40"/>
      <c r="J350" s="40"/>
      <c r="K350" s="40"/>
      <c r="L350" s="40"/>
    </row>
    <row r="351" spans="1:12" ht="15.75" customHeight="1" x14ac:dyDescent="0.25">
      <c r="A351" s="40"/>
      <c r="B351" s="40"/>
      <c r="C351" s="40"/>
      <c r="D351" s="40"/>
      <c r="E351" s="41"/>
      <c r="F351" s="41"/>
      <c r="G351" s="40"/>
      <c r="H351" s="40"/>
      <c r="I351" s="40"/>
      <c r="J351" s="40"/>
      <c r="K351" s="40"/>
      <c r="L351" s="40"/>
    </row>
    <row r="352" spans="1:12" ht="15.75" customHeight="1" x14ac:dyDescent="0.25">
      <c r="A352" s="40"/>
      <c r="B352" s="40"/>
      <c r="C352" s="40"/>
      <c r="D352" s="40"/>
      <c r="E352" s="41"/>
      <c r="F352" s="41"/>
      <c r="G352" s="40"/>
      <c r="H352" s="40"/>
      <c r="I352" s="40"/>
      <c r="J352" s="40"/>
      <c r="K352" s="40"/>
      <c r="L352" s="40"/>
    </row>
    <row r="353" spans="1:12" ht="15.75" customHeight="1" x14ac:dyDescent="0.25">
      <c r="A353" s="40"/>
      <c r="B353" s="40"/>
      <c r="C353" s="40"/>
      <c r="D353" s="40"/>
      <c r="E353" s="41"/>
      <c r="F353" s="41"/>
      <c r="G353" s="40"/>
      <c r="H353" s="40"/>
      <c r="I353" s="40"/>
      <c r="J353" s="40"/>
      <c r="K353" s="40"/>
      <c r="L353" s="40"/>
    </row>
    <row r="354" spans="1:12" ht="15.75" customHeight="1" x14ac:dyDescent="0.25">
      <c r="A354" s="40"/>
      <c r="B354" s="40"/>
      <c r="C354" s="40"/>
      <c r="D354" s="40"/>
      <c r="E354" s="41"/>
      <c r="F354" s="41"/>
      <c r="G354" s="40"/>
      <c r="H354" s="40"/>
      <c r="I354" s="40"/>
      <c r="J354" s="40"/>
      <c r="K354" s="40"/>
      <c r="L354" s="40"/>
    </row>
    <row r="355" spans="1:12" ht="15.75" customHeight="1" x14ac:dyDescent="0.25">
      <c r="A355" s="40"/>
      <c r="B355" s="40"/>
      <c r="C355" s="40"/>
      <c r="D355" s="40"/>
      <c r="E355" s="41"/>
      <c r="F355" s="41"/>
      <c r="G355" s="40"/>
      <c r="H355" s="40"/>
      <c r="I355" s="40"/>
      <c r="J355" s="40"/>
      <c r="K355" s="40"/>
      <c r="L355" s="40"/>
    </row>
    <row r="356" spans="1:12" ht="15.75" customHeight="1" x14ac:dyDescent="0.25">
      <c r="A356" s="40"/>
      <c r="B356" s="40"/>
      <c r="C356" s="40"/>
      <c r="D356" s="40"/>
      <c r="E356" s="41"/>
      <c r="F356" s="41"/>
      <c r="G356" s="40"/>
      <c r="H356" s="40"/>
      <c r="I356" s="40"/>
      <c r="J356" s="40"/>
      <c r="K356" s="40"/>
      <c r="L356" s="40"/>
    </row>
    <row r="357" spans="1:12" ht="15.75" customHeight="1" x14ac:dyDescent="0.25">
      <c r="A357" s="40"/>
      <c r="B357" s="40"/>
      <c r="C357" s="40"/>
      <c r="D357" s="40"/>
      <c r="E357" s="41"/>
      <c r="F357" s="41"/>
      <c r="G357" s="40"/>
      <c r="H357" s="40"/>
      <c r="I357" s="40"/>
      <c r="J357" s="40"/>
      <c r="K357" s="40"/>
      <c r="L357" s="40"/>
    </row>
    <row r="358" spans="1:12" ht="15.75" customHeight="1" x14ac:dyDescent="0.25">
      <c r="A358" s="40"/>
      <c r="B358" s="40"/>
      <c r="C358" s="40"/>
      <c r="D358" s="40"/>
      <c r="E358" s="41"/>
      <c r="F358" s="41"/>
      <c r="G358" s="40"/>
      <c r="H358" s="40"/>
      <c r="I358" s="40"/>
      <c r="J358" s="40"/>
      <c r="K358" s="40"/>
      <c r="L358" s="40"/>
    </row>
    <row r="359" spans="1:12" ht="15.75" customHeight="1" x14ac:dyDescent="0.25">
      <c r="A359" s="40"/>
      <c r="B359" s="40"/>
      <c r="C359" s="40"/>
      <c r="D359" s="40"/>
      <c r="E359" s="41"/>
      <c r="F359" s="41"/>
      <c r="G359" s="40"/>
      <c r="H359" s="40"/>
      <c r="I359" s="40"/>
      <c r="J359" s="40"/>
      <c r="K359" s="40"/>
      <c r="L359" s="40"/>
    </row>
    <row r="360" spans="1:12" ht="15.75" customHeight="1" x14ac:dyDescent="0.25">
      <c r="A360" s="40"/>
      <c r="B360" s="40"/>
      <c r="C360" s="40"/>
      <c r="D360" s="40"/>
      <c r="E360" s="41"/>
      <c r="F360" s="41"/>
      <c r="G360" s="40"/>
      <c r="H360" s="40"/>
      <c r="I360" s="40"/>
      <c r="J360" s="40"/>
      <c r="K360" s="40"/>
      <c r="L360" s="40"/>
    </row>
    <row r="361" spans="1:12" ht="15.75" customHeight="1" x14ac:dyDescent="0.25">
      <c r="A361" s="40"/>
      <c r="B361" s="40"/>
      <c r="C361" s="40"/>
      <c r="D361" s="40"/>
      <c r="E361" s="41"/>
      <c r="F361" s="41"/>
      <c r="G361" s="40"/>
      <c r="H361" s="40"/>
      <c r="I361" s="40"/>
      <c r="J361" s="40"/>
      <c r="K361" s="40"/>
      <c r="L361" s="40"/>
    </row>
    <row r="362" spans="1:12" ht="15.75" customHeight="1" x14ac:dyDescent="0.25">
      <c r="A362" s="40"/>
      <c r="B362" s="40"/>
      <c r="C362" s="40"/>
      <c r="D362" s="40"/>
      <c r="E362" s="41"/>
      <c r="F362" s="41"/>
      <c r="G362" s="40"/>
      <c r="H362" s="40"/>
      <c r="I362" s="40"/>
      <c r="J362" s="40"/>
      <c r="K362" s="40"/>
      <c r="L362" s="40"/>
    </row>
    <row r="363" spans="1:12" ht="15.75" customHeight="1" x14ac:dyDescent="0.25">
      <c r="A363" s="40"/>
      <c r="B363" s="40"/>
      <c r="C363" s="40"/>
      <c r="D363" s="40"/>
      <c r="E363" s="41"/>
      <c r="F363" s="41"/>
      <c r="G363" s="40"/>
      <c r="H363" s="40"/>
      <c r="I363" s="40"/>
      <c r="J363" s="40"/>
      <c r="K363" s="40"/>
      <c r="L363" s="40"/>
    </row>
    <row r="364" spans="1:12" ht="15.75" customHeight="1" x14ac:dyDescent="0.25">
      <c r="A364" s="40"/>
      <c r="B364" s="40"/>
      <c r="C364" s="40"/>
      <c r="D364" s="40"/>
      <c r="E364" s="41"/>
      <c r="F364" s="41"/>
      <c r="G364" s="40"/>
      <c r="H364" s="40"/>
      <c r="I364" s="40"/>
      <c r="J364" s="40"/>
      <c r="K364" s="40"/>
      <c r="L364" s="40"/>
    </row>
    <row r="365" spans="1:12" ht="15.75" customHeight="1" x14ac:dyDescent="0.25">
      <c r="A365" s="40"/>
      <c r="B365" s="40"/>
      <c r="C365" s="40"/>
      <c r="D365" s="40"/>
      <c r="E365" s="41"/>
      <c r="F365" s="41"/>
      <c r="G365" s="40"/>
      <c r="H365" s="40"/>
      <c r="I365" s="40"/>
      <c r="J365" s="40"/>
      <c r="K365" s="40"/>
      <c r="L365" s="40"/>
    </row>
    <row r="366" spans="1:12" ht="15.75" customHeight="1" x14ac:dyDescent="0.25">
      <c r="A366" s="40"/>
      <c r="B366" s="40"/>
      <c r="C366" s="40"/>
      <c r="D366" s="40"/>
      <c r="E366" s="41"/>
      <c r="F366" s="41"/>
      <c r="G366" s="40"/>
      <c r="H366" s="40"/>
      <c r="I366" s="40"/>
      <c r="J366" s="40"/>
      <c r="K366" s="40"/>
      <c r="L366" s="40"/>
    </row>
    <row r="367" spans="1:12" ht="15.75" customHeight="1" x14ac:dyDescent="0.25">
      <c r="A367" s="40"/>
      <c r="B367" s="40"/>
      <c r="C367" s="40"/>
      <c r="D367" s="40"/>
      <c r="E367" s="41"/>
      <c r="F367" s="41"/>
      <c r="G367" s="40"/>
      <c r="H367" s="40"/>
      <c r="I367" s="40"/>
      <c r="J367" s="40"/>
      <c r="K367" s="40"/>
      <c r="L367" s="40"/>
    </row>
    <row r="368" spans="1:12" ht="15.75" customHeight="1" x14ac:dyDescent="0.25">
      <c r="A368" s="40"/>
      <c r="B368" s="40"/>
      <c r="C368" s="40"/>
      <c r="D368" s="40"/>
      <c r="E368" s="41"/>
      <c r="F368" s="41"/>
      <c r="G368" s="40"/>
      <c r="H368" s="40"/>
      <c r="I368" s="40"/>
      <c r="J368" s="40"/>
      <c r="K368" s="40"/>
      <c r="L368" s="40"/>
    </row>
    <row r="369" spans="1:12" ht="15.75" customHeight="1" x14ac:dyDescent="0.25">
      <c r="A369" s="40"/>
      <c r="B369" s="40"/>
      <c r="C369" s="40"/>
      <c r="D369" s="40"/>
      <c r="E369" s="41"/>
      <c r="F369" s="41"/>
      <c r="G369" s="40"/>
      <c r="H369" s="40"/>
      <c r="I369" s="40"/>
      <c r="J369" s="40"/>
      <c r="K369" s="40"/>
      <c r="L369" s="40"/>
    </row>
    <row r="370" spans="1:12" ht="15.75" customHeight="1" x14ac:dyDescent="0.25">
      <c r="A370" s="40"/>
      <c r="B370" s="40"/>
      <c r="C370" s="40"/>
      <c r="D370" s="40"/>
      <c r="E370" s="41"/>
      <c r="F370" s="41"/>
      <c r="G370" s="40"/>
      <c r="H370" s="40"/>
      <c r="I370" s="40"/>
      <c r="J370" s="40"/>
      <c r="K370" s="40"/>
      <c r="L370" s="40"/>
    </row>
    <row r="371" spans="1:12" ht="15.75" customHeight="1" x14ac:dyDescent="0.25">
      <c r="A371" s="40"/>
      <c r="B371" s="40"/>
      <c r="C371" s="40"/>
      <c r="D371" s="40"/>
      <c r="E371" s="41"/>
      <c r="F371" s="41"/>
      <c r="G371" s="40"/>
      <c r="H371" s="40"/>
      <c r="I371" s="40"/>
      <c r="J371" s="40"/>
      <c r="K371" s="40"/>
      <c r="L371" s="40"/>
    </row>
    <row r="372" spans="1:12" ht="15.75" customHeight="1" x14ac:dyDescent="0.25">
      <c r="A372" s="40"/>
      <c r="B372" s="40"/>
      <c r="C372" s="40"/>
      <c r="D372" s="40"/>
      <c r="E372" s="41"/>
      <c r="F372" s="41"/>
      <c r="G372" s="40"/>
      <c r="H372" s="40"/>
      <c r="I372" s="40"/>
      <c r="J372" s="40"/>
      <c r="K372" s="40"/>
      <c r="L372" s="40"/>
    </row>
    <row r="373" spans="1:12" ht="15.75" customHeight="1" x14ac:dyDescent="0.25">
      <c r="A373" s="40"/>
      <c r="B373" s="40"/>
      <c r="C373" s="40"/>
      <c r="D373" s="40"/>
      <c r="E373" s="41"/>
      <c r="F373" s="41"/>
      <c r="G373" s="40"/>
      <c r="H373" s="40"/>
      <c r="I373" s="40"/>
      <c r="J373" s="40"/>
      <c r="K373" s="40"/>
      <c r="L373" s="40"/>
    </row>
    <row r="374" spans="1:12" ht="15.75" customHeight="1" x14ac:dyDescent="0.25">
      <c r="A374" s="40"/>
      <c r="B374" s="40"/>
      <c r="C374" s="40"/>
      <c r="D374" s="40"/>
      <c r="E374" s="41"/>
      <c r="F374" s="41"/>
      <c r="G374" s="40"/>
      <c r="H374" s="40"/>
      <c r="I374" s="40"/>
      <c r="J374" s="40"/>
      <c r="K374" s="40"/>
      <c r="L374" s="40"/>
    </row>
    <row r="375" spans="1:12" ht="15.75" customHeight="1" x14ac:dyDescent="0.25">
      <c r="A375" s="40"/>
      <c r="B375" s="40"/>
      <c r="C375" s="40"/>
      <c r="D375" s="40"/>
      <c r="E375" s="41"/>
      <c r="F375" s="41"/>
      <c r="G375" s="40"/>
      <c r="H375" s="40"/>
      <c r="I375" s="40"/>
      <c r="J375" s="40"/>
      <c r="K375" s="40"/>
      <c r="L375" s="40"/>
    </row>
    <row r="376" spans="1:12" ht="15.75" customHeight="1" x14ac:dyDescent="0.25">
      <c r="A376" s="40"/>
      <c r="B376" s="40"/>
      <c r="C376" s="40"/>
      <c r="D376" s="40"/>
      <c r="E376" s="41"/>
      <c r="F376" s="41"/>
      <c r="G376" s="40"/>
      <c r="H376" s="40"/>
      <c r="I376" s="40"/>
      <c r="J376" s="40"/>
      <c r="K376" s="40"/>
      <c r="L376" s="40"/>
    </row>
    <row r="377" spans="1:12" ht="15.75" customHeight="1" x14ac:dyDescent="0.25">
      <c r="A377" s="40"/>
      <c r="B377" s="40"/>
      <c r="C377" s="40"/>
      <c r="D377" s="40"/>
      <c r="E377" s="41"/>
      <c r="F377" s="41"/>
      <c r="G377" s="40"/>
      <c r="H377" s="40"/>
      <c r="I377" s="40"/>
      <c r="J377" s="40"/>
      <c r="K377" s="40"/>
      <c r="L377" s="40"/>
    </row>
    <row r="378" spans="1:12" ht="15.75" customHeight="1" x14ac:dyDescent="0.25">
      <c r="A378" s="40"/>
      <c r="B378" s="40"/>
      <c r="C378" s="40"/>
      <c r="D378" s="40"/>
      <c r="E378" s="41"/>
      <c r="F378" s="41"/>
      <c r="G378" s="40"/>
      <c r="H378" s="40"/>
      <c r="I378" s="40"/>
      <c r="J378" s="40"/>
      <c r="K378" s="40"/>
      <c r="L378" s="40"/>
    </row>
    <row r="379" spans="1:12" ht="15.75" customHeight="1" x14ac:dyDescent="0.25">
      <c r="A379" s="40"/>
      <c r="B379" s="40"/>
      <c r="C379" s="40"/>
      <c r="D379" s="40"/>
      <c r="E379" s="41"/>
      <c r="F379" s="41"/>
      <c r="G379" s="40"/>
      <c r="H379" s="40"/>
      <c r="I379" s="40"/>
      <c r="J379" s="40"/>
      <c r="K379" s="40"/>
      <c r="L379" s="40"/>
    </row>
    <row r="380" spans="1:12" ht="15.75" customHeight="1" x14ac:dyDescent="0.25">
      <c r="A380" s="40"/>
      <c r="B380" s="40"/>
      <c r="C380" s="40"/>
      <c r="D380" s="40"/>
      <c r="E380" s="41"/>
      <c r="F380" s="41"/>
      <c r="G380" s="40"/>
      <c r="H380" s="40"/>
      <c r="I380" s="40"/>
      <c r="J380" s="40"/>
      <c r="K380" s="40"/>
      <c r="L380" s="40"/>
    </row>
    <row r="381" spans="1:12" ht="15.75" customHeight="1" x14ac:dyDescent="0.25">
      <c r="A381" s="40"/>
      <c r="B381" s="40"/>
      <c r="C381" s="40"/>
      <c r="D381" s="40"/>
      <c r="E381" s="41"/>
      <c r="F381" s="41"/>
      <c r="G381" s="40"/>
      <c r="H381" s="40"/>
      <c r="I381" s="40"/>
      <c r="J381" s="40"/>
      <c r="K381" s="40"/>
      <c r="L381" s="40"/>
    </row>
    <row r="382" spans="1:12" ht="15.75" customHeight="1" x14ac:dyDescent="0.25">
      <c r="A382" s="40"/>
      <c r="B382" s="40"/>
      <c r="C382" s="40"/>
      <c r="D382" s="40"/>
      <c r="E382" s="41"/>
      <c r="F382" s="41"/>
      <c r="G382" s="40"/>
      <c r="H382" s="40"/>
      <c r="I382" s="40"/>
      <c r="J382" s="40"/>
      <c r="K382" s="40"/>
      <c r="L382" s="40"/>
    </row>
    <row r="383" spans="1:12" ht="15.75" customHeight="1" x14ac:dyDescent="0.25">
      <c r="A383" s="40"/>
      <c r="B383" s="40"/>
      <c r="C383" s="40"/>
      <c r="D383" s="40"/>
      <c r="E383" s="41"/>
      <c r="F383" s="41"/>
      <c r="G383" s="40"/>
      <c r="H383" s="40"/>
      <c r="I383" s="40"/>
      <c r="J383" s="40"/>
      <c r="K383" s="40"/>
      <c r="L383" s="40"/>
    </row>
    <row r="384" spans="1:12" ht="15.75" customHeight="1" x14ac:dyDescent="0.25">
      <c r="A384" s="40"/>
      <c r="B384" s="40"/>
      <c r="C384" s="40"/>
      <c r="D384" s="40"/>
      <c r="E384" s="41"/>
      <c r="F384" s="41"/>
      <c r="G384" s="40"/>
      <c r="H384" s="40"/>
      <c r="I384" s="40"/>
      <c r="J384" s="40"/>
      <c r="K384" s="40"/>
      <c r="L384" s="40"/>
    </row>
    <row r="385" spans="1:12" ht="15.75" customHeight="1" x14ac:dyDescent="0.25">
      <c r="A385" s="40"/>
      <c r="B385" s="40"/>
      <c r="C385" s="40"/>
      <c r="D385" s="40"/>
      <c r="E385" s="41"/>
      <c r="F385" s="41"/>
      <c r="G385" s="40"/>
      <c r="H385" s="40"/>
      <c r="I385" s="40"/>
      <c r="J385" s="40"/>
      <c r="K385" s="40"/>
      <c r="L385" s="40"/>
    </row>
    <row r="386" spans="1:12" ht="15.75" customHeight="1" x14ac:dyDescent="0.25">
      <c r="A386" s="40"/>
      <c r="B386" s="40"/>
      <c r="C386" s="40"/>
      <c r="D386" s="40"/>
      <c r="E386" s="41"/>
      <c r="F386" s="41"/>
      <c r="G386" s="40"/>
      <c r="H386" s="40"/>
      <c r="I386" s="40"/>
      <c r="J386" s="40"/>
      <c r="K386" s="40"/>
      <c r="L386" s="40"/>
    </row>
    <row r="387" spans="1:12" ht="15.75" customHeight="1" x14ac:dyDescent="0.25">
      <c r="A387" s="40"/>
      <c r="B387" s="40"/>
      <c r="C387" s="40"/>
      <c r="D387" s="40"/>
      <c r="E387" s="41"/>
      <c r="F387" s="41"/>
      <c r="G387" s="40"/>
      <c r="H387" s="40"/>
      <c r="I387" s="40"/>
      <c r="J387" s="40"/>
      <c r="K387" s="40"/>
      <c r="L387" s="40"/>
    </row>
    <row r="388" spans="1:12" ht="15.75" customHeight="1" x14ac:dyDescent="0.25">
      <c r="A388" s="40"/>
      <c r="B388" s="40"/>
      <c r="C388" s="40"/>
      <c r="D388" s="40"/>
      <c r="E388" s="41"/>
      <c r="F388" s="41"/>
      <c r="G388" s="40"/>
      <c r="H388" s="40"/>
      <c r="I388" s="40"/>
      <c r="J388" s="40"/>
      <c r="K388" s="40"/>
      <c r="L388" s="40"/>
    </row>
    <row r="389" spans="1:12" ht="15.75" customHeight="1" x14ac:dyDescent="0.25">
      <c r="A389" s="40"/>
      <c r="B389" s="40"/>
      <c r="C389" s="40"/>
      <c r="D389" s="40"/>
      <c r="E389" s="41"/>
      <c r="F389" s="41"/>
      <c r="G389" s="40"/>
      <c r="H389" s="40"/>
      <c r="I389" s="40"/>
      <c r="J389" s="40"/>
      <c r="K389" s="40"/>
      <c r="L389" s="40"/>
    </row>
    <row r="390" spans="1:12" ht="15.75" customHeight="1" x14ac:dyDescent="0.25">
      <c r="A390" s="40"/>
      <c r="B390" s="40"/>
      <c r="C390" s="40"/>
      <c r="D390" s="40"/>
      <c r="E390" s="41"/>
      <c r="F390" s="41"/>
      <c r="G390" s="40"/>
      <c r="H390" s="40"/>
      <c r="I390" s="40"/>
      <c r="J390" s="40"/>
      <c r="K390" s="40"/>
      <c r="L390" s="40"/>
    </row>
    <row r="391" spans="1:12" ht="15.75" customHeight="1" x14ac:dyDescent="0.25">
      <c r="A391" s="40"/>
      <c r="B391" s="40"/>
      <c r="C391" s="40"/>
      <c r="D391" s="40"/>
      <c r="E391" s="41"/>
      <c r="F391" s="41"/>
      <c r="G391" s="40"/>
      <c r="H391" s="40"/>
      <c r="I391" s="40"/>
      <c r="J391" s="40"/>
      <c r="K391" s="40"/>
      <c r="L391" s="40"/>
    </row>
    <row r="392" spans="1:12" ht="15.75" customHeight="1" x14ac:dyDescent="0.25">
      <c r="A392" s="40"/>
      <c r="B392" s="40"/>
      <c r="C392" s="40"/>
      <c r="D392" s="40"/>
      <c r="E392" s="41"/>
      <c r="F392" s="41"/>
      <c r="G392" s="40"/>
      <c r="H392" s="40"/>
      <c r="I392" s="40"/>
      <c r="J392" s="40"/>
      <c r="K392" s="40"/>
      <c r="L392" s="40"/>
    </row>
    <row r="393" spans="1:12" ht="15.75" customHeight="1" x14ac:dyDescent="0.25">
      <c r="A393" s="40"/>
      <c r="B393" s="40"/>
      <c r="C393" s="40"/>
      <c r="D393" s="40"/>
      <c r="E393" s="41"/>
      <c r="F393" s="41"/>
      <c r="G393" s="40"/>
      <c r="H393" s="40"/>
      <c r="I393" s="40"/>
      <c r="J393" s="40"/>
      <c r="K393" s="40"/>
      <c r="L393" s="40"/>
    </row>
    <row r="394" spans="1:12" ht="15.75" customHeight="1" x14ac:dyDescent="0.25">
      <c r="A394" s="40"/>
      <c r="B394" s="40"/>
      <c r="C394" s="40"/>
      <c r="D394" s="40"/>
      <c r="E394" s="41"/>
      <c r="F394" s="41"/>
      <c r="G394" s="40"/>
      <c r="H394" s="40"/>
      <c r="I394" s="40"/>
      <c r="J394" s="40"/>
      <c r="K394" s="40"/>
      <c r="L394" s="40"/>
    </row>
    <row r="395" spans="1:12" ht="15.75" customHeight="1" x14ac:dyDescent="0.25">
      <c r="A395" s="40"/>
      <c r="B395" s="40"/>
      <c r="C395" s="40"/>
      <c r="D395" s="40"/>
      <c r="E395" s="41"/>
      <c r="F395" s="41"/>
      <c r="G395" s="40"/>
      <c r="H395" s="40"/>
      <c r="I395" s="40"/>
      <c r="J395" s="40"/>
      <c r="K395" s="40"/>
      <c r="L395" s="40"/>
    </row>
    <row r="396" spans="1:12" ht="15.75" customHeight="1" x14ac:dyDescent="0.25">
      <c r="A396" s="40"/>
      <c r="B396" s="40"/>
      <c r="C396" s="40"/>
      <c r="D396" s="40"/>
      <c r="E396" s="41"/>
      <c r="F396" s="41"/>
      <c r="G396" s="40"/>
      <c r="H396" s="40"/>
      <c r="I396" s="40"/>
      <c r="J396" s="40"/>
      <c r="K396" s="40"/>
      <c r="L396" s="40"/>
    </row>
    <row r="397" spans="1:12" ht="15.75" customHeight="1" x14ac:dyDescent="0.25">
      <c r="A397" s="40"/>
      <c r="B397" s="40"/>
      <c r="C397" s="40"/>
      <c r="D397" s="40"/>
      <c r="E397" s="41"/>
      <c r="F397" s="41"/>
      <c r="G397" s="40"/>
      <c r="H397" s="40"/>
      <c r="I397" s="40"/>
      <c r="J397" s="40"/>
      <c r="K397" s="40"/>
      <c r="L397" s="40"/>
    </row>
    <row r="398" spans="1:12" ht="15.75" customHeight="1" x14ac:dyDescent="0.25">
      <c r="A398" s="40"/>
      <c r="B398" s="40"/>
      <c r="C398" s="40"/>
      <c r="D398" s="40"/>
      <c r="E398" s="41"/>
      <c r="F398" s="41"/>
      <c r="G398" s="40"/>
      <c r="H398" s="40"/>
      <c r="I398" s="40"/>
      <c r="J398" s="40"/>
      <c r="K398" s="40"/>
      <c r="L398" s="40"/>
    </row>
    <row r="399" spans="1:12" ht="15.75" customHeight="1" x14ac:dyDescent="0.25">
      <c r="A399" s="40"/>
      <c r="B399" s="40"/>
      <c r="C399" s="40"/>
      <c r="D399" s="40"/>
      <c r="E399" s="41"/>
      <c r="F399" s="41"/>
      <c r="G399" s="40"/>
      <c r="H399" s="40"/>
      <c r="I399" s="40"/>
      <c r="J399" s="40"/>
      <c r="K399" s="40"/>
      <c r="L399" s="40"/>
    </row>
    <row r="400" spans="1:12" ht="15.75" customHeight="1" x14ac:dyDescent="0.25">
      <c r="A400" s="40"/>
      <c r="B400" s="40"/>
      <c r="C400" s="40"/>
      <c r="D400" s="40"/>
      <c r="E400" s="41"/>
      <c r="F400" s="41"/>
      <c r="G400" s="40"/>
      <c r="H400" s="40"/>
      <c r="I400" s="40"/>
      <c r="J400" s="40"/>
      <c r="K400" s="40"/>
      <c r="L400" s="40"/>
    </row>
    <row r="401" spans="1:12" ht="15.75" customHeight="1" x14ac:dyDescent="0.25">
      <c r="A401" s="40"/>
      <c r="B401" s="40"/>
      <c r="C401" s="40"/>
      <c r="D401" s="40"/>
      <c r="E401" s="41"/>
      <c r="F401" s="41"/>
      <c r="G401" s="40"/>
      <c r="H401" s="40"/>
      <c r="I401" s="40"/>
      <c r="J401" s="40"/>
      <c r="K401" s="40"/>
      <c r="L401" s="40"/>
    </row>
    <row r="402" spans="1:12" ht="15.75" customHeight="1" x14ac:dyDescent="0.25">
      <c r="A402" s="40"/>
      <c r="B402" s="40"/>
      <c r="C402" s="40"/>
      <c r="D402" s="40"/>
      <c r="E402" s="41"/>
      <c r="F402" s="41"/>
      <c r="G402" s="40"/>
      <c r="H402" s="40"/>
      <c r="I402" s="40"/>
      <c r="J402" s="40"/>
      <c r="K402" s="40"/>
      <c r="L402" s="40"/>
    </row>
    <row r="403" spans="1:12" ht="15.75" customHeight="1" x14ac:dyDescent="0.25">
      <c r="A403" s="40"/>
      <c r="B403" s="40"/>
      <c r="C403" s="40"/>
      <c r="D403" s="40"/>
      <c r="E403" s="41"/>
      <c r="F403" s="41"/>
      <c r="G403" s="40"/>
      <c r="H403" s="40"/>
      <c r="I403" s="40"/>
      <c r="J403" s="40"/>
      <c r="K403" s="40"/>
      <c r="L403" s="40"/>
    </row>
    <row r="404" spans="1:12" ht="15.75" customHeight="1" x14ac:dyDescent="0.25">
      <c r="A404" s="40"/>
      <c r="B404" s="40"/>
      <c r="C404" s="40"/>
      <c r="D404" s="40"/>
      <c r="E404" s="41"/>
      <c r="F404" s="41"/>
      <c r="G404" s="40"/>
      <c r="H404" s="40"/>
      <c r="I404" s="40"/>
      <c r="J404" s="40"/>
      <c r="K404" s="40"/>
      <c r="L404" s="40"/>
    </row>
    <row r="405" spans="1:12" ht="15.75" customHeight="1" x14ac:dyDescent="0.25">
      <c r="A405" s="40"/>
      <c r="B405" s="40"/>
      <c r="C405" s="40"/>
      <c r="D405" s="40"/>
      <c r="E405" s="41"/>
      <c r="F405" s="41"/>
      <c r="G405" s="40"/>
      <c r="H405" s="40"/>
      <c r="I405" s="40"/>
      <c r="J405" s="40"/>
      <c r="K405" s="40"/>
      <c r="L405" s="40"/>
    </row>
    <row r="406" spans="1:12" ht="15.75" customHeight="1" x14ac:dyDescent="0.25">
      <c r="A406" s="40"/>
      <c r="B406" s="40"/>
      <c r="C406" s="40"/>
      <c r="D406" s="40"/>
      <c r="E406" s="41"/>
      <c r="F406" s="41"/>
      <c r="G406" s="40"/>
      <c r="H406" s="40"/>
      <c r="I406" s="40"/>
      <c r="J406" s="40"/>
      <c r="K406" s="40"/>
      <c r="L406" s="40"/>
    </row>
    <row r="407" spans="1:12" ht="15.75" customHeight="1" x14ac:dyDescent="0.25">
      <c r="A407" s="40"/>
      <c r="B407" s="40"/>
      <c r="C407" s="40"/>
      <c r="D407" s="40"/>
      <c r="E407" s="41"/>
      <c r="F407" s="41"/>
      <c r="G407" s="40"/>
      <c r="H407" s="40"/>
      <c r="I407" s="40"/>
      <c r="J407" s="40"/>
      <c r="K407" s="40"/>
      <c r="L407" s="40"/>
    </row>
    <row r="408" spans="1:12" ht="15.75" customHeight="1" x14ac:dyDescent="0.25">
      <c r="A408" s="40"/>
      <c r="B408" s="40"/>
      <c r="C408" s="40"/>
      <c r="D408" s="40"/>
      <c r="E408" s="41"/>
      <c r="F408" s="41"/>
      <c r="G408" s="40"/>
      <c r="H408" s="40"/>
      <c r="I408" s="40"/>
      <c r="J408" s="40"/>
      <c r="K408" s="40"/>
      <c r="L408" s="40"/>
    </row>
    <row r="409" spans="1:12" ht="15.75" customHeight="1" x14ac:dyDescent="0.25">
      <c r="A409" s="40"/>
      <c r="B409" s="40"/>
      <c r="C409" s="40"/>
      <c r="D409" s="40"/>
      <c r="E409" s="41"/>
      <c r="F409" s="41"/>
      <c r="G409" s="40"/>
      <c r="H409" s="40"/>
      <c r="I409" s="40"/>
      <c r="J409" s="40"/>
      <c r="K409" s="40"/>
      <c r="L409" s="40"/>
    </row>
    <row r="410" spans="1:12" ht="15.75" customHeight="1" x14ac:dyDescent="0.25">
      <c r="A410" s="40"/>
      <c r="B410" s="40"/>
      <c r="C410" s="40"/>
      <c r="D410" s="40"/>
      <c r="E410" s="41"/>
      <c r="F410" s="41"/>
      <c r="G410" s="40"/>
      <c r="H410" s="40"/>
      <c r="I410" s="40"/>
      <c r="J410" s="40"/>
      <c r="K410" s="40"/>
      <c r="L410" s="40"/>
    </row>
    <row r="411" spans="1:12" ht="15.75" customHeight="1" x14ac:dyDescent="0.25">
      <c r="A411" s="40"/>
      <c r="B411" s="40"/>
      <c r="C411" s="40"/>
      <c r="D411" s="40"/>
      <c r="E411" s="41"/>
      <c r="F411" s="41"/>
      <c r="G411" s="40"/>
      <c r="H411" s="40"/>
      <c r="I411" s="40"/>
      <c r="J411" s="40"/>
      <c r="K411" s="40"/>
      <c r="L411" s="40"/>
    </row>
    <row r="412" spans="1:12" ht="15.75" customHeight="1" x14ac:dyDescent="0.25">
      <c r="A412" s="40"/>
      <c r="B412" s="40"/>
      <c r="C412" s="40"/>
      <c r="D412" s="40"/>
      <c r="E412" s="41"/>
      <c r="F412" s="41"/>
      <c r="G412" s="40"/>
      <c r="H412" s="40"/>
      <c r="I412" s="40"/>
      <c r="J412" s="40"/>
      <c r="K412" s="40"/>
      <c r="L412" s="40"/>
    </row>
    <row r="413" spans="1:12" ht="15.75" customHeight="1" x14ac:dyDescent="0.25">
      <c r="A413" s="40"/>
      <c r="B413" s="40"/>
      <c r="C413" s="40"/>
      <c r="D413" s="40"/>
      <c r="E413" s="41"/>
      <c r="F413" s="41"/>
      <c r="G413" s="40"/>
      <c r="H413" s="40"/>
      <c r="I413" s="40"/>
      <c r="J413" s="40"/>
      <c r="K413" s="40"/>
      <c r="L413" s="40"/>
    </row>
    <row r="414" spans="1:12" ht="15.75" customHeight="1" x14ac:dyDescent="0.25">
      <c r="A414" s="40"/>
      <c r="B414" s="40"/>
      <c r="C414" s="40"/>
      <c r="D414" s="40"/>
      <c r="E414" s="41"/>
      <c r="F414" s="41"/>
      <c r="G414" s="40"/>
      <c r="H414" s="40"/>
      <c r="I414" s="40"/>
      <c r="J414" s="40"/>
      <c r="K414" s="40"/>
      <c r="L414" s="40"/>
    </row>
    <row r="415" spans="1:12" ht="15.75" customHeight="1" x14ac:dyDescent="0.25">
      <c r="A415" s="40"/>
      <c r="B415" s="40"/>
      <c r="C415" s="40"/>
      <c r="D415" s="40"/>
      <c r="E415" s="41"/>
      <c r="F415" s="41"/>
      <c r="G415" s="40"/>
      <c r="H415" s="40"/>
      <c r="I415" s="40"/>
      <c r="J415" s="40"/>
      <c r="K415" s="40"/>
      <c r="L415" s="40"/>
    </row>
    <row r="416" spans="1:12" ht="15.75" customHeight="1" x14ac:dyDescent="0.25">
      <c r="A416" s="40"/>
      <c r="B416" s="40"/>
      <c r="C416" s="40"/>
      <c r="D416" s="40"/>
      <c r="E416" s="41"/>
      <c r="F416" s="41"/>
      <c r="G416" s="40"/>
      <c r="H416" s="40"/>
      <c r="I416" s="40"/>
      <c r="J416" s="40"/>
      <c r="K416" s="40"/>
      <c r="L416" s="40"/>
    </row>
    <row r="417" spans="1:12" ht="15.75" customHeight="1" x14ac:dyDescent="0.25">
      <c r="A417" s="40"/>
      <c r="B417" s="40"/>
      <c r="C417" s="40"/>
      <c r="D417" s="40"/>
      <c r="E417" s="41"/>
      <c r="F417" s="41"/>
      <c r="G417" s="40"/>
      <c r="H417" s="40"/>
      <c r="I417" s="40"/>
      <c r="J417" s="40"/>
      <c r="K417" s="40"/>
      <c r="L417" s="40"/>
    </row>
    <row r="418" spans="1:12" ht="15.75" customHeight="1" x14ac:dyDescent="0.25">
      <c r="A418" s="40"/>
      <c r="B418" s="40"/>
      <c r="C418" s="40"/>
      <c r="D418" s="40"/>
      <c r="E418" s="41"/>
      <c r="F418" s="41"/>
      <c r="G418" s="40"/>
      <c r="H418" s="40"/>
      <c r="I418" s="40"/>
      <c r="J418" s="40"/>
      <c r="K418" s="40"/>
      <c r="L418" s="40"/>
    </row>
    <row r="419" spans="1:12" ht="15.75" customHeight="1" x14ac:dyDescent="0.25">
      <c r="A419" s="40"/>
      <c r="B419" s="40"/>
      <c r="C419" s="40"/>
      <c r="D419" s="40"/>
      <c r="E419" s="41"/>
      <c r="F419" s="41"/>
      <c r="G419" s="40"/>
      <c r="H419" s="40"/>
      <c r="I419" s="40"/>
      <c r="J419" s="40"/>
      <c r="K419" s="40"/>
      <c r="L419" s="40"/>
    </row>
    <row r="420" spans="1:12" ht="15.75" customHeight="1" x14ac:dyDescent="0.25">
      <c r="A420" s="40"/>
      <c r="B420" s="40"/>
      <c r="C420" s="40"/>
      <c r="D420" s="40"/>
      <c r="E420" s="41"/>
      <c r="F420" s="41"/>
      <c r="G420" s="40"/>
      <c r="H420" s="40"/>
      <c r="I420" s="40"/>
      <c r="J420" s="40"/>
      <c r="K420" s="40"/>
      <c r="L420" s="40"/>
    </row>
    <row r="421" spans="1:12" ht="15.75" customHeight="1" x14ac:dyDescent="0.25">
      <c r="A421" s="40"/>
      <c r="B421" s="40"/>
      <c r="C421" s="40"/>
      <c r="D421" s="40"/>
      <c r="E421" s="41"/>
      <c r="F421" s="41"/>
      <c r="G421" s="40"/>
      <c r="H421" s="40"/>
      <c r="I421" s="40"/>
      <c r="J421" s="40"/>
      <c r="K421" s="40"/>
      <c r="L421" s="40"/>
    </row>
    <row r="422" spans="1:12" ht="15.75" customHeight="1" x14ac:dyDescent="0.25">
      <c r="A422" s="40"/>
      <c r="B422" s="40"/>
      <c r="C422" s="40"/>
      <c r="D422" s="40"/>
      <c r="E422" s="41"/>
      <c r="F422" s="41"/>
      <c r="G422" s="40"/>
      <c r="H422" s="40"/>
      <c r="I422" s="40"/>
      <c r="J422" s="40"/>
      <c r="K422" s="40"/>
      <c r="L422" s="40"/>
    </row>
    <row r="423" spans="1:12" ht="15.75" customHeight="1" x14ac:dyDescent="0.25">
      <c r="A423" s="40"/>
      <c r="B423" s="40"/>
      <c r="C423" s="40"/>
      <c r="D423" s="40"/>
      <c r="E423" s="41"/>
      <c r="F423" s="41"/>
      <c r="G423" s="40"/>
      <c r="H423" s="40"/>
      <c r="I423" s="40"/>
      <c r="J423" s="40"/>
      <c r="K423" s="40"/>
      <c r="L423" s="40"/>
    </row>
    <row r="424" spans="1:12" ht="15.75" customHeight="1" x14ac:dyDescent="0.25">
      <c r="A424" s="40"/>
      <c r="B424" s="40"/>
      <c r="C424" s="40"/>
      <c r="D424" s="40"/>
      <c r="E424" s="41"/>
      <c r="F424" s="41"/>
      <c r="G424" s="40"/>
      <c r="H424" s="40"/>
      <c r="I424" s="40"/>
      <c r="J424" s="40"/>
      <c r="K424" s="40"/>
      <c r="L424" s="40"/>
    </row>
    <row r="425" spans="1:12" ht="15.75" customHeight="1" x14ac:dyDescent="0.25">
      <c r="A425" s="40"/>
      <c r="B425" s="40"/>
      <c r="C425" s="40"/>
      <c r="D425" s="40"/>
      <c r="E425" s="41"/>
      <c r="F425" s="41"/>
      <c r="G425" s="40"/>
      <c r="H425" s="40"/>
      <c r="I425" s="40"/>
      <c r="J425" s="40"/>
      <c r="K425" s="40"/>
      <c r="L425" s="40"/>
    </row>
    <row r="426" spans="1:12" ht="15.75" customHeight="1" x14ac:dyDescent="0.25">
      <c r="A426" s="40"/>
      <c r="B426" s="40"/>
      <c r="C426" s="40"/>
      <c r="D426" s="40"/>
      <c r="E426" s="41"/>
      <c r="F426" s="41"/>
      <c r="G426" s="40"/>
      <c r="H426" s="40"/>
      <c r="I426" s="40"/>
      <c r="J426" s="40"/>
      <c r="K426" s="40"/>
      <c r="L426" s="40"/>
    </row>
    <row r="427" spans="1:12" ht="15.75" customHeight="1" x14ac:dyDescent="0.25">
      <c r="A427" s="40"/>
      <c r="B427" s="40"/>
      <c r="C427" s="40"/>
      <c r="D427" s="40"/>
      <c r="E427" s="41"/>
      <c r="F427" s="41"/>
      <c r="G427" s="40"/>
      <c r="H427" s="40"/>
      <c r="I427" s="40"/>
      <c r="J427" s="40"/>
      <c r="K427" s="40"/>
      <c r="L427" s="40"/>
    </row>
    <row r="428" spans="1:12" ht="15.75" customHeight="1" x14ac:dyDescent="0.25">
      <c r="A428" s="40"/>
      <c r="B428" s="40"/>
      <c r="C428" s="40"/>
      <c r="D428" s="40"/>
      <c r="E428" s="41"/>
      <c r="F428" s="41"/>
      <c r="G428" s="40"/>
      <c r="H428" s="40"/>
      <c r="I428" s="40"/>
      <c r="J428" s="40"/>
      <c r="K428" s="40"/>
      <c r="L428" s="40"/>
    </row>
    <row r="429" spans="1:12" ht="15.75" customHeight="1" x14ac:dyDescent="0.25">
      <c r="A429" s="40"/>
      <c r="B429" s="40"/>
      <c r="C429" s="40"/>
      <c r="D429" s="40"/>
      <c r="E429" s="41"/>
      <c r="F429" s="41"/>
      <c r="G429" s="40"/>
      <c r="H429" s="40"/>
      <c r="I429" s="40"/>
      <c r="J429" s="40"/>
      <c r="K429" s="40"/>
      <c r="L429" s="40"/>
    </row>
    <row r="430" spans="1:12" ht="15.75" customHeight="1" x14ac:dyDescent="0.25">
      <c r="A430" s="40"/>
      <c r="B430" s="40"/>
      <c r="C430" s="40"/>
      <c r="D430" s="40"/>
      <c r="E430" s="41"/>
      <c r="F430" s="41"/>
      <c r="G430" s="40"/>
      <c r="H430" s="40"/>
      <c r="I430" s="40"/>
      <c r="J430" s="40"/>
      <c r="K430" s="40"/>
      <c r="L430" s="40"/>
    </row>
    <row r="431" spans="1:12" ht="15.75" customHeight="1" x14ac:dyDescent="0.25">
      <c r="A431" s="40"/>
      <c r="B431" s="40"/>
      <c r="C431" s="40"/>
      <c r="D431" s="40"/>
      <c r="E431" s="41"/>
      <c r="F431" s="41"/>
      <c r="G431" s="40"/>
      <c r="H431" s="40"/>
      <c r="I431" s="40"/>
      <c r="J431" s="40"/>
      <c r="K431" s="40"/>
      <c r="L431" s="40"/>
    </row>
    <row r="432" spans="1:12" ht="15.75" customHeight="1" x14ac:dyDescent="0.25">
      <c r="A432" s="40"/>
      <c r="B432" s="40"/>
      <c r="C432" s="40"/>
      <c r="D432" s="40"/>
      <c r="E432" s="41"/>
      <c r="F432" s="41"/>
      <c r="G432" s="40"/>
      <c r="H432" s="40"/>
      <c r="I432" s="40"/>
      <c r="J432" s="40"/>
      <c r="K432" s="40"/>
      <c r="L432" s="40"/>
    </row>
    <row r="433" spans="1:12" ht="15.75" customHeight="1" x14ac:dyDescent="0.25">
      <c r="A433" s="40"/>
      <c r="B433" s="40"/>
      <c r="C433" s="40"/>
      <c r="D433" s="40"/>
      <c r="E433" s="41"/>
      <c r="F433" s="41"/>
      <c r="G433" s="40"/>
      <c r="H433" s="40"/>
      <c r="I433" s="40"/>
      <c r="J433" s="40"/>
      <c r="K433" s="40"/>
      <c r="L433" s="40"/>
    </row>
    <row r="434" spans="1:12" ht="15.75" customHeight="1" x14ac:dyDescent="0.25">
      <c r="A434" s="40"/>
      <c r="B434" s="40"/>
      <c r="C434" s="40"/>
      <c r="D434" s="40"/>
      <c r="E434" s="41"/>
      <c r="F434" s="41"/>
      <c r="G434" s="40"/>
      <c r="H434" s="40"/>
      <c r="I434" s="40"/>
      <c r="J434" s="40"/>
      <c r="K434" s="40"/>
      <c r="L434" s="40"/>
    </row>
    <row r="435" spans="1:12" ht="15.75" customHeight="1" x14ac:dyDescent="0.25">
      <c r="A435" s="40"/>
      <c r="B435" s="40"/>
      <c r="C435" s="40"/>
      <c r="D435" s="40"/>
      <c r="E435" s="41"/>
      <c r="F435" s="41"/>
      <c r="G435" s="40"/>
      <c r="H435" s="40"/>
      <c r="I435" s="40"/>
      <c r="J435" s="40"/>
      <c r="K435" s="40"/>
      <c r="L435" s="40"/>
    </row>
    <row r="436" spans="1:12" ht="15.75" customHeight="1" x14ac:dyDescent="0.25">
      <c r="A436" s="40"/>
      <c r="B436" s="40"/>
      <c r="C436" s="40"/>
      <c r="D436" s="40"/>
      <c r="E436" s="41"/>
      <c r="F436" s="41"/>
      <c r="G436" s="40"/>
      <c r="H436" s="40"/>
      <c r="I436" s="40"/>
      <c r="J436" s="40"/>
      <c r="K436" s="40"/>
      <c r="L436" s="40"/>
    </row>
    <row r="437" spans="1:12" ht="15.75" customHeight="1" x14ac:dyDescent="0.25">
      <c r="A437" s="40"/>
      <c r="B437" s="40"/>
      <c r="C437" s="40"/>
      <c r="D437" s="40"/>
      <c r="E437" s="41"/>
      <c r="F437" s="41"/>
      <c r="G437" s="40"/>
      <c r="H437" s="40"/>
      <c r="I437" s="40"/>
      <c r="J437" s="40"/>
      <c r="K437" s="40"/>
      <c r="L437" s="40"/>
    </row>
    <row r="438" spans="1:12" ht="15.75" customHeight="1" x14ac:dyDescent="0.25">
      <c r="A438" s="40"/>
      <c r="B438" s="40"/>
      <c r="C438" s="40"/>
      <c r="D438" s="40"/>
      <c r="E438" s="41"/>
      <c r="F438" s="41"/>
      <c r="G438" s="40"/>
      <c r="H438" s="40"/>
      <c r="I438" s="40"/>
      <c r="J438" s="40"/>
      <c r="K438" s="40"/>
      <c r="L438" s="40"/>
    </row>
    <row r="439" spans="1:12" ht="15.75" customHeight="1" x14ac:dyDescent="0.25">
      <c r="A439" s="40"/>
      <c r="B439" s="40"/>
      <c r="C439" s="40"/>
      <c r="D439" s="40"/>
      <c r="E439" s="41"/>
      <c r="F439" s="41"/>
      <c r="G439" s="40"/>
      <c r="H439" s="40"/>
      <c r="I439" s="40"/>
      <c r="J439" s="40"/>
      <c r="K439" s="40"/>
      <c r="L439" s="40"/>
    </row>
    <row r="440" spans="1:12" ht="15.75" customHeight="1" x14ac:dyDescent="0.25">
      <c r="A440" s="40"/>
      <c r="B440" s="40"/>
      <c r="C440" s="40"/>
      <c r="D440" s="40"/>
      <c r="E440" s="41"/>
      <c r="F440" s="41"/>
      <c r="G440" s="40"/>
      <c r="H440" s="40"/>
      <c r="I440" s="40"/>
      <c r="J440" s="40"/>
      <c r="K440" s="40"/>
      <c r="L440" s="40"/>
    </row>
    <row r="441" spans="1:12" ht="15.75" customHeight="1" x14ac:dyDescent="0.25">
      <c r="A441" s="40"/>
      <c r="B441" s="40"/>
      <c r="C441" s="40"/>
      <c r="D441" s="40"/>
      <c r="E441" s="41"/>
      <c r="F441" s="41"/>
      <c r="G441" s="40"/>
      <c r="H441" s="40"/>
      <c r="I441" s="40"/>
      <c r="J441" s="40"/>
      <c r="K441" s="40"/>
      <c r="L441" s="40"/>
    </row>
    <row r="442" spans="1:12" ht="15.75" customHeight="1" x14ac:dyDescent="0.25">
      <c r="A442" s="40"/>
      <c r="B442" s="40"/>
      <c r="C442" s="40"/>
      <c r="D442" s="40"/>
      <c r="E442" s="41"/>
      <c r="F442" s="41"/>
      <c r="G442" s="40"/>
      <c r="H442" s="40"/>
      <c r="I442" s="40"/>
      <c r="J442" s="40"/>
      <c r="K442" s="40"/>
      <c r="L442" s="40"/>
    </row>
    <row r="443" spans="1:12" ht="15.75" customHeight="1" x14ac:dyDescent="0.25">
      <c r="A443" s="40"/>
      <c r="B443" s="40"/>
      <c r="C443" s="40"/>
      <c r="D443" s="40"/>
      <c r="E443" s="41"/>
      <c r="F443" s="41"/>
      <c r="G443" s="40"/>
      <c r="H443" s="40"/>
      <c r="I443" s="40"/>
      <c r="J443" s="40"/>
      <c r="K443" s="40"/>
      <c r="L443" s="40"/>
    </row>
    <row r="444" spans="1:12" ht="15.75" customHeight="1" x14ac:dyDescent="0.25">
      <c r="A444" s="40"/>
      <c r="B444" s="40"/>
      <c r="C444" s="40"/>
      <c r="D444" s="40"/>
      <c r="E444" s="41"/>
      <c r="F444" s="41"/>
      <c r="G444" s="40"/>
      <c r="H444" s="40"/>
      <c r="I444" s="40"/>
      <c r="J444" s="40"/>
      <c r="K444" s="40"/>
      <c r="L444" s="40"/>
    </row>
    <row r="445" spans="1:12" ht="15.75" customHeight="1" x14ac:dyDescent="0.25">
      <c r="A445" s="40"/>
      <c r="B445" s="40"/>
      <c r="C445" s="40"/>
      <c r="D445" s="40"/>
      <c r="E445" s="41"/>
      <c r="F445" s="41"/>
      <c r="G445" s="40"/>
      <c r="H445" s="40"/>
      <c r="I445" s="40"/>
      <c r="J445" s="40"/>
      <c r="K445" s="40"/>
      <c r="L445" s="40"/>
    </row>
    <row r="446" spans="1:12" ht="15.75" customHeight="1" x14ac:dyDescent="0.25">
      <c r="A446" s="40"/>
      <c r="B446" s="40"/>
      <c r="C446" s="40"/>
      <c r="D446" s="40"/>
      <c r="E446" s="41"/>
      <c r="F446" s="41"/>
      <c r="G446" s="40"/>
      <c r="H446" s="40"/>
      <c r="I446" s="40"/>
      <c r="J446" s="40"/>
      <c r="K446" s="40"/>
      <c r="L446" s="40"/>
    </row>
    <row r="447" spans="1:12" ht="15.75" customHeight="1" x14ac:dyDescent="0.25">
      <c r="A447" s="40"/>
      <c r="B447" s="40"/>
      <c r="C447" s="40"/>
      <c r="D447" s="40"/>
      <c r="E447" s="41"/>
      <c r="F447" s="41"/>
      <c r="G447" s="40"/>
      <c r="H447" s="40"/>
      <c r="I447" s="40"/>
      <c r="J447" s="40"/>
      <c r="K447" s="40"/>
      <c r="L447" s="40"/>
    </row>
    <row r="448" spans="1:12" ht="15.75" customHeight="1" x14ac:dyDescent="0.25">
      <c r="A448" s="40"/>
      <c r="B448" s="40"/>
      <c r="C448" s="40"/>
      <c r="D448" s="40"/>
      <c r="E448" s="41"/>
      <c r="F448" s="41"/>
      <c r="G448" s="40"/>
      <c r="H448" s="40"/>
      <c r="I448" s="40"/>
      <c r="J448" s="40"/>
      <c r="K448" s="40"/>
      <c r="L448" s="40"/>
    </row>
    <row r="449" spans="1:12" ht="15.75" customHeight="1" x14ac:dyDescent="0.25">
      <c r="A449" s="40"/>
      <c r="B449" s="40"/>
      <c r="C449" s="40"/>
      <c r="D449" s="40"/>
      <c r="E449" s="41"/>
      <c r="F449" s="41"/>
      <c r="G449" s="40"/>
      <c r="H449" s="40"/>
      <c r="I449" s="40"/>
      <c r="J449" s="40"/>
      <c r="K449" s="40"/>
      <c r="L449" s="40"/>
    </row>
    <row r="450" spans="1:12" ht="15.75" customHeight="1" x14ac:dyDescent="0.25">
      <c r="A450" s="40"/>
      <c r="B450" s="40"/>
      <c r="C450" s="40"/>
      <c r="D450" s="40"/>
      <c r="E450" s="41"/>
      <c r="F450" s="41"/>
      <c r="G450" s="40"/>
      <c r="H450" s="40"/>
      <c r="I450" s="40"/>
      <c r="J450" s="40"/>
      <c r="K450" s="40"/>
      <c r="L450" s="40"/>
    </row>
    <row r="451" spans="1:12" ht="15.75" customHeight="1" x14ac:dyDescent="0.25">
      <c r="A451" s="40"/>
      <c r="B451" s="40"/>
      <c r="C451" s="40"/>
      <c r="D451" s="40"/>
      <c r="E451" s="41"/>
      <c r="F451" s="41"/>
      <c r="G451" s="40"/>
      <c r="H451" s="40"/>
      <c r="I451" s="40"/>
      <c r="J451" s="40"/>
      <c r="K451" s="40"/>
      <c r="L451" s="40"/>
    </row>
    <row r="452" spans="1:12" ht="15.75" customHeight="1" x14ac:dyDescent="0.25">
      <c r="A452" s="40"/>
      <c r="B452" s="40"/>
      <c r="C452" s="40"/>
      <c r="D452" s="40"/>
      <c r="E452" s="41"/>
      <c r="F452" s="41"/>
      <c r="G452" s="40"/>
      <c r="H452" s="40"/>
      <c r="I452" s="40"/>
      <c r="J452" s="40"/>
      <c r="K452" s="40"/>
      <c r="L452" s="40"/>
    </row>
    <row r="453" spans="1:12" ht="15.75" customHeight="1" x14ac:dyDescent="0.25">
      <c r="A453" s="40"/>
      <c r="B453" s="40"/>
      <c r="C453" s="40"/>
      <c r="D453" s="40"/>
      <c r="E453" s="41"/>
      <c r="F453" s="41"/>
      <c r="G453" s="40"/>
      <c r="H453" s="40"/>
      <c r="I453" s="40"/>
      <c r="J453" s="40"/>
      <c r="K453" s="40"/>
      <c r="L453" s="40"/>
    </row>
    <row r="454" spans="1:12" ht="15.75" customHeight="1" x14ac:dyDescent="0.25">
      <c r="A454" s="40"/>
      <c r="B454" s="40"/>
      <c r="C454" s="40"/>
      <c r="D454" s="40"/>
      <c r="E454" s="41"/>
      <c r="F454" s="41"/>
      <c r="G454" s="40"/>
      <c r="H454" s="40"/>
      <c r="I454" s="40"/>
      <c r="J454" s="40"/>
      <c r="K454" s="40"/>
      <c r="L454" s="40"/>
    </row>
    <row r="455" spans="1:12" ht="15.75" customHeight="1" x14ac:dyDescent="0.25">
      <c r="A455" s="40"/>
      <c r="B455" s="40"/>
      <c r="C455" s="40"/>
      <c r="D455" s="40"/>
      <c r="E455" s="41"/>
      <c r="F455" s="41"/>
      <c r="G455" s="40"/>
      <c r="H455" s="40"/>
      <c r="I455" s="40"/>
      <c r="J455" s="40"/>
      <c r="K455" s="40"/>
      <c r="L455" s="40"/>
    </row>
    <row r="456" spans="1:12" ht="15.75" customHeight="1" x14ac:dyDescent="0.25">
      <c r="A456" s="40"/>
      <c r="B456" s="40"/>
      <c r="C456" s="40"/>
      <c r="D456" s="40"/>
      <c r="E456" s="41"/>
      <c r="F456" s="41"/>
      <c r="G456" s="40"/>
      <c r="H456" s="40"/>
      <c r="I456" s="40"/>
      <c r="J456" s="40"/>
      <c r="K456" s="40"/>
      <c r="L456" s="40"/>
    </row>
    <row r="457" spans="1:12" ht="15.75" customHeight="1" x14ac:dyDescent="0.25">
      <c r="A457" s="40"/>
      <c r="B457" s="40"/>
      <c r="C457" s="40"/>
      <c r="D457" s="40"/>
      <c r="E457" s="41"/>
      <c r="F457" s="41"/>
      <c r="G457" s="40"/>
      <c r="H457" s="40"/>
      <c r="I457" s="40"/>
      <c r="J457" s="40"/>
      <c r="K457" s="40"/>
      <c r="L457" s="40"/>
    </row>
    <row r="458" spans="1:12" ht="15.75" customHeight="1" x14ac:dyDescent="0.25">
      <c r="A458" s="40"/>
      <c r="B458" s="40"/>
      <c r="C458" s="40"/>
      <c r="D458" s="40"/>
      <c r="E458" s="41"/>
      <c r="F458" s="41"/>
      <c r="G458" s="40"/>
      <c r="H458" s="40"/>
      <c r="I458" s="40"/>
      <c r="J458" s="40"/>
      <c r="K458" s="40"/>
      <c r="L458" s="40"/>
    </row>
    <row r="459" spans="1:12" ht="15.75" customHeight="1" x14ac:dyDescent="0.25">
      <c r="A459" s="40"/>
      <c r="B459" s="40"/>
      <c r="C459" s="40"/>
      <c r="D459" s="40"/>
      <c r="E459" s="41"/>
      <c r="F459" s="41"/>
      <c r="G459" s="40"/>
      <c r="H459" s="40"/>
      <c r="I459" s="40"/>
      <c r="J459" s="40"/>
      <c r="K459" s="40"/>
      <c r="L459" s="40"/>
    </row>
    <row r="460" spans="1:12" ht="15.75" customHeight="1" x14ac:dyDescent="0.25">
      <c r="A460" s="40"/>
      <c r="B460" s="40"/>
      <c r="C460" s="40"/>
      <c r="D460" s="40"/>
      <c r="E460" s="41"/>
      <c r="F460" s="41"/>
      <c r="G460" s="40"/>
      <c r="H460" s="40"/>
      <c r="I460" s="40"/>
      <c r="J460" s="40"/>
      <c r="K460" s="40"/>
      <c r="L460" s="40"/>
    </row>
    <row r="461" spans="1:12" ht="15.75" customHeight="1" x14ac:dyDescent="0.25">
      <c r="A461" s="40"/>
      <c r="B461" s="40"/>
      <c r="C461" s="40"/>
      <c r="D461" s="40"/>
      <c r="E461" s="41"/>
      <c r="F461" s="41"/>
      <c r="G461" s="40"/>
      <c r="H461" s="40"/>
      <c r="I461" s="40"/>
      <c r="J461" s="40"/>
      <c r="K461" s="40"/>
      <c r="L461" s="40"/>
    </row>
    <row r="462" spans="1:12" ht="15.75" customHeight="1" x14ac:dyDescent="0.25">
      <c r="A462" s="40"/>
      <c r="B462" s="40"/>
      <c r="C462" s="40"/>
      <c r="D462" s="40"/>
      <c r="E462" s="41"/>
      <c r="F462" s="41"/>
      <c r="G462" s="40"/>
      <c r="H462" s="40"/>
      <c r="I462" s="40"/>
      <c r="J462" s="40"/>
      <c r="K462" s="40"/>
      <c r="L462" s="40"/>
    </row>
    <row r="463" spans="1:12" ht="15.75" customHeight="1" x14ac:dyDescent="0.25">
      <c r="A463" s="40"/>
      <c r="B463" s="40"/>
      <c r="C463" s="40"/>
      <c r="D463" s="40"/>
      <c r="E463" s="41"/>
      <c r="F463" s="41"/>
      <c r="G463" s="40"/>
      <c r="H463" s="40"/>
      <c r="I463" s="40"/>
      <c r="J463" s="40"/>
      <c r="K463" s="40"/>
      <c r="L463" s="40"/>
    </row>
    <row r="464" spans="1:12" ht="15.75" customHeight="1" x14ac:dyDescent="0.25">
      <c r="A464" s="40"/>
      <c r="B464" s="40"/>
      <c r="C464" s="40"/>
      <c r="D464" s="40"/>
      <c r="E464" s="41"/>
      <c r="F464" s="41"/>
      <c r="G464" s="40"/>
      <c r="H464" s="40"/>
      <c r="I464" s="40"/>
      <c r="J464" s="40"/>
      <c r="K464" s="40"/>
      <c r="L464" s="40"/>
    </row>
    <row r="465" spans="1:12" ht="15.75" customHeight="1" x14ac:dyDescent="0.25">
      <c r="A465" s="40"/>
      <c r="B465" s="40"/>
      <c r="C465" s="40"/>
      <c r="D465" s="40"/>
      <c r="E465" s="41"/>
      <c r="F465" s="41"/>
      <c r="G465" s="40"/>
      <c r="H465" s="40"/>
      <c r="I465" s="40"/>
      <c r="J465" s="40"/>
      <c r="K465" s="40"/>
      <c r="L465" s="40"/>
    </row>
    <row r="466" spans="1:12" ht="15.75" customHeight="1" x14ac:dyDescent="0.25">
      <c r="A466" s="40"/>
      <c r="B466" s="40"/>
      <c r="C466" s="40"/>
      <c r="D466" s="40"/>
      <c r="E466" s="41"/>
      <c r="F466" s="41"/>
      <c r="G466" s="40"/>
      <c r="H466" s="40"/>
      <c r="I466" s="40"/>
      <c r="J466" s="40"/>
      <c r="K466" s="40"/>
      <c r="L466" s="40"/>
    </row>
    <row r="467" spans="1:12" ht="15.75" customHeight="1" x14ac:dyDescent="0.25">
      <c r="A467" s="40"/>
      <c r="B467" s="40"/>
      <c r="C467" s="40"/>
      <c r="D467" s="40"/>
      <c r="E467" s="41"/>
      <c r="F467" s="41"/>
      <c r="G467" s="40"/>
      <c r="H467" s="40"/>
      <c r="I467" s="40"/>
      <c r="J467" s="40"/>
      <c r="K467" s="40"/>
      <c r="L467" s="40"/>
    </row>
    <row r="468" spans="1:12" ht="15.75" customHeight="1" x14ac:dyDescent="0.25">
      <c r="A468" s="40"/>
      <c r="B468" s="40"/>
      <c r="C468" s="40"/>
      <c r="D468" s="40"/>
      <c r="E468" s="41"/>
      <c r="F468" s="41"/>
      <c r="G468" s="40"/>
      <c r="H468" s="40"/>
      <c r="I468" s="40"/>
      <c r="J468" s="40"/>
      <c r="K468" s="40"/>
      <c r="L468" s="40"/>
    </row>
    <row r="469" spans="1:12" ht="15.75" customHeight="1" x14ac:dyDescent="0.25">
      <c r="A469" s="40"/>
      <c r="B469" s="40"/>
      <c r="C469" s="40"/>
      <c r="D469" s="40"/>
      <c r="E469" s="41"/>
      <c r="F469" s="41"/>
      <c r="G469" s="40"/>
      <c r="H469" s="40"/>
      <c r="I469" s="40"/>
      <c r="J469" s="40"/>
      <c r="K469" s="40"/>
      <c r="L469" s="40"/>
    </row>
    <row r="470" spans="1:12" ht="15.75" customHeight="1" x14ac:dyDescent="0.25">
      <c r="A470" s="40"/>
      <c r="B470" s="40"/>
      <c r="C470" s="40"/>
      <c r="D470" s="40"/>
      <c r="E470" s="41"/>
      <c r="F470" s="41"/>
      <c r="G470" s="40"/>
      <c r="H470" s="40"/>
      <c r="I470" s="40"/>
      <c r="J470" s="40"/>
      <c r="K470" s="40"/>
      <c r="L470" s="40"/>
    </row>
    <row r="471" spans="1:12" ht="15.75" customHeight="1" x14ac:dyDescent="0.25">
      <c r="A471" s="40"/>
      <c r="B471" s="40"/>
      <c r="C471" s="40"/>
      <c r="D471" s="40"/>
      <c r="E471" s="41"/>
      <c r="F471" s="41"/>
      <c r="G471" s="40"/>
      <c r="H471" s="40"/>
      <c r="I471" s="40"/>
      <c r="J471" s="40"/>
      <c r="K471" s="40"/>
      <c r="L471" s="40"/>
    </row>
    <row r="472" spans="1:12" ht="15.75" customHeight="1" x14ac:dyDescent="0.25">
      <c r="A472" s="40"/>
      <c r="B472" s="40"/>
      <c r="C472" s="40"/>
      <c r="D472" s="40"/>
      <c r="E472" s="41"/>
      <c r="F472" s="41"/>
      <c r="G472" s="40"/>
      <c r="H472" s="40"/>
      <c r="I472" s="40"/>
      <c r="J472" s="40"/>
      <c r="K472" s="40"/>
      <c r="L472" s="40"/>
    </row>
    <row r="473" spans="1:12" ht="15.75" customHeight="1" x14ac:dyDescent="0.25">
      <c r="A473" s="40"/>
      <c r="B473" s="40"/>
      <c r="C473" s="40"/>
      <c r="D473" s="40"/>
      <c r="E473" s="41"/>
      <c r="F473" s="41"/>
      <c r="G473" s="40"/>
      <c r="H473" s="40"/>
      <c r="I473" s="40"/>
      <c r="J473" s="40"/>
      <c r="K473" s="40"/>
      <c r="L473" s="40"/>
    </row>
    <row r="474" spans="1:12" ht="15.75" customHeight="1" x14ac:dyDescent="0.25">
      <c r="A474" s="40"/>
      <c r="B474" s="40"/>
      <c r="C474" s="40"/>
      <c r="D474" s="40"/>
      <c r="E474" s="41"/>
      <c r="F474" s="41"/>
      <c r="G474" s="40"/>
      <c r="H474" s="40"/>
      <c r="I474" s="40"/>
      <c r="J474" s="40"/>
      <c r="K474" s="40"/>
      <c r="L474" s="40"/>
    </row>
    <row r="475" spans="1:12" ht="15.75" customHeight="1" x14ac:dyDescent="0.25">
      <c r="A475" s="40"/>
      <c r="B475" s="40"/>
      <c r="C475" s="40"/>
      <c r="D475" s="40"/>
      <c r="E475" s="41"/>
      <c r="F475" s="41"/>
      <c r="G475" s="40"/>
      <c r="H475" s="40"/>
      <c r="I475" s="40"/>
      <c r="J475" s="40"/>
      <c r="K475" s="40"/>
      <c r="L475" s="40"/>
    </row>
    <row r="476" spans="1:12" ht="15.75" customHeight="1" x14ac:dyDescent="0.25">
      <c r="A476" s="40"/>
      <c r="B476" s="40"/>
      <c r="C476" s="40"/>
      <c r="D476" s="40"/>
      <c r="E476" s="41"/>
      <c r="F476" s="41"/>
      <c r="G476" s="40"/>
      <c r="H476" s="40"/>
      <c r="I476" s="40"/>
      <c r="J476" s="40"/>
      <c r="K476" s="40"/>
      <c r="L476" s="40"/>
    </row>
    <row r="477" spans="1:12" ht="15.75" customHeight="1" x14ac:dyDescent="0.25">
      <c r="A477" s="40"/>
      <c r="B477" s="40"/>
      <c r="C477" s="40"/>
      <c r="D477" s="40"/>
      <c r="E477" s="41"/>
      <c r="F477" s="41"/>
      <c r="G477" s="40"/>
      <c r="H477" s="40"/>
      <c r="I477" s="40"/>
      <c r="J477" s="40"/>
      <c r="K477" s="40"/>
      <c r="L477" s="40"/>
    </row>
    <row r="478" spans="1:12" ht="15.75" customHeight="1" x14ac:dyDescent="0.25">
      <c r="A478" s="40"/>
      <c r="B478" s="40"/>
      <c r="C478" s="40"/>
      <c r="D478" s="40"/>
      <c r="E478" s="41"/>
      <c r="F478" s="41"/>
      <c r="G478" s="40"/>
      <c r="H478" s="40"/>
      <c r="I478" s="40"/>
      <c r="J478" s="40"/>
      <c r="K478" s="40"/>
      <c r="L478" s="40"/>
    </row>
    <row r="479" spans="1:12" ht="15.75" customHeight="1" x14ac:dyDescent="0.25">
      <c r="A479" s="40"/>
      <c r="B479" s="40"/>
      <c r="C479" s="40"/>
      <c r="D479" s="40"/>
      <c r="E479" s="41"/>
      <c r="F479" s="41"/>
      <c r="G479" s="40"/>
      <c r="H479" s="40"/>
      <c r="I479" s="40"/>
      <c r="J479" s="40"/>
      <c r="K479" s="40"/>
      <c r="L479" s="40"/>
    </row>
    <row r="480" spans="1:12" ht="15.75" customHeight="1" x14ac:dyDescent="0.25">
      <c r="A480" s="40"/>
      <c r="B480" s="40"/>
      <c r="C480" s="40"/>
      <c r="D480" s="40"/>
      <c r="E480" s="41"/>
      <c r="F480" s="41"/>
      <c r="G480" s="40"/>
      <c r="H480" s="40"/>
      <c r="I480" s="40"/>
      <c r="J480" s="40"/>
      <c r="K480" s="40"/>
      <c r="L480" s="40"/>
    </row>
    <row r="481" spans="1:12" ht="15.75" customHeight="1" x14ac:dyDescent="0.25">
      <c r="A481" s="40"/>
      <c r="B481" s="40"/>
      <c r="C481" s="40"/>
      <c r="D481" s="40"/>
      <c r="E481" s="41"/>
      <c r="F481" s="41"/>
      <c r="G481" s="40"/>
      <c r="H481" s="40"/>
      <c r="I481" s="40"/>
      <c r="J481" s="40"/>
      <c r="K481" s="40"/>
      <c r="L481" s="40"/>
    </row>
    <row r="482" spans="1:12" ht="15.75" customHeight="1" x14ac:dyDescent="0.25">
      <c r="A482" s="40"/>
      <c r="B482" s="40"/>
      <c r="C482" s="40"/>
      <c r="D482" s="40"/>
      <c r="E482" s="41"/>
      <c r="F482" s="41"/>
      <c r="G482" s="40"/>
      <c r="H482" s="40"/>
      <c r="I482" s="40"/>
      <c r="J482" s="40"/>
      <c r="K482" s="40"/>
      <c r="L482" s="40"/>
    </row>
    <row r="483" spans="1:12" ht="15.75" customHeight="1" x14ac:dyDescent="0.25">
      <c r="A483" s="40"/>
      <c r="B483" s="40"/>
      <c r="C483" s="40"/>
      <c r="D483" s="40"/>
      <c r="E483" s="41"/>
      <c r="F483" s="41"/>
      <c r="G483" s="40"/>
      <c r="H483" s="40"/>
      <c r="I483" s="40"/>
      <c r="J483" s="40"/>
      <c r="K483" s="40"/>
      <c r="L483" s="40"/>
    </row>
    <row r="484" spans="1:12" ht="15.75" customHeight="1" x14ac:dyDescent="0.25">
      <c r="A484" s="40"/>
      <c r="B484" s="40"/>
      <c r="C484" s="40"/>
      <c r="D484" s="40"/>
      <c r="E484" s="41"/>
      <c r="F484" s="41"/>
      <c r="G484" s="40"/>
      <c r="H484" s="40"/>
      <c r="I484" s="40"/>
      <c r="J484" s="40"/>
      <c r="K484" s="40"/>
      <c r="L484" s="40"/>
    </row>
    <row r="485" spans="1:12" ht="15.75" customHeight="1" x14ac:dyDescent="0.25">
      <c r="A485" s="40"/>
      <c r="B485" s="40"/>
      <c r="C485" s="40"/>
      <c r="D485" s="40"/>
      <c r="E485" s="41"/>
      <c r="F485" s="41"/>
      <c r="G485" s="40"/>
      <c r="H485" s="40"/>
      <c r="I485" s="40"/>
      <c r="J485" s="40"/>
      <c r="K485" s="40"/>
      <c r="L485" s="40"/>
    </row>
    <row r="486" spans="1:12" ht="15.75" customHeight="1" x14ac:dyDescent="0.25">
      <c r="A486" s="40"/>
      <c r="B486" s="40"/>
      <c r="C486" s="40"/>
      <c r="D486" s="40"/>
      <c r="E486" s="41"/>
      <c r="F486" s="41"/>
      <c r="G486" s="40"/>
      <c r="H486" s="40"/>
      <c r="I486" s="40"/>
      <c r="J486" s="40"/>
      <c r="K486" s="40"/>
      <c r="L486" s="40"/>
    </row>
    <row r="487" spans="1:12" ht="15.75" customHeight="1" x14ac:dyDescent="0.25">
      <c r="A487" s="40"/>
      <c r="B487" s="40"/>
      <c r="C487" s="40"/>
      <c r="D487" s="40"/>
      <c r="E487" s="41"/>
      <c r="F487" s="41"/>
      <c r="G487" s="40"/>
      <c r="H487" s="40"/>
      <c r="I487" s="40"/>
      <c r="J487" s="40"/>
      <c r="K487" s="40"/>
      <c r="L487" s="40"/>
    </row>
    <row r="488" spans="1:12" ht="15.75" customHeight="1" x14ac:dyDescent="0.25">
      <c r="A488" s="40"/>
      <c r="B488" s="40"/>
      <c r="C488" s="40"/>
      <c r="D488" s="40"/>
      <c r="E488" s="41"/>
      <c r="F488" s="41"/>
      <c r="G488" s="40"/>
      <c r="H488" s="40"/>
      <c r="I488" s="40"/>
      <c r="J488" s="40"/>
      <c r="K488" s="40"/>
      <c r="L488" s="40"/>
    </row>
    <row r="489" spans="1:12" ht="15.75" customHeight="1" x14ac:dyDescent="0.25">
      <c r="A489" s="40"/>
      <c r="B489" s="40"/>
      <c r="C489" s="40"/>
      <c r="D489" s="40"/>
      <c r="E489" s="41"/>
      <c r="F489" s="41"/>
      <c r="G489" s="40"/>
      <c r="H489" s="40"/>
      <c r="I489" s="40"/>
      <c r="J489" s="40"/>
      <c r="K489" s="40"/>
      <c r="L489" s="40"/>
    </row>
    <row r="490" spans="1:12" ht="15.75" customHeight="1" x14ac:dyDescent="0.25">
      <c r="A490" s="40"/>
      <c r="B490" s="40"/>
      <c r="C490" s="40"/>
      <c r="D490" s="40"/>
      <c r="E490" s="41"/>
      <c r="F490" s="41"/>
      <c r="G490" s="40"/>
      <c r="H490" s="40"/>
      <c r="I490" s="40"/>
      <c r="J490" s="40"/>
      <c r="K490" s="40"/>
      <c r="L490" s="40"/>
    </row>
    <row r="491" spans="1:12" ht="15.75" customHeight="1" x14ac:dyDescent="0.25">
      <c r="A491" s="40"/>
      <c r="B491" s="40"/>
      <c r="C491" s="40"/>
      <c r="D491" s="40"/>
      <c r="E491" s="41"/>
      <c r="F491" s="41"/>
      <c r="G491" s="40"/>
      <c r="H491" s="40"/>
      <c r="I491" s="40"/>
      <c r="J491" s="40"/>
      <c r="K491" s="40"/>
      <c r="L491" s="40"/>
    </row>
    <row r="492" spans="1:12" ht="15.75" customHeight="1" x14ac:dyDescent="0.25">
      <c r="A492" s="40"/>
      <c r="B492" s="40"/>
      <c r="C492" s="40"/>
      <c r="D492" s="40"/>
      <c r="E492" s="41"/>
      <c r="F492" s="41"/>
      <c r="G492" s="40"/>
      <c r="H492" s="40"/>
      <c r="I492" s="40"/>
      <c r="J492" s="40"/>
      <c r="K492" s="40"/>
      <c r="L492" s="40"/>
    </row>
    <row r="493" spans="1:12" ht="15.75" customHeight="1" x14ac:dyDescent="0.25">
      <c r="A493" s="40"/>
      <c r="B493" s="40"/>
      <c r="C493" s="40"/>
      <c r="D493" s="40"/>
      <c r="E493" s="41"/>
      <c r="F493" s="41"/>
      <c r="G493" s="40"/>
      <c r="H493" s="40"/>
      <c r="I493" s="40"/>
      <c r="J493" s="40"/>
      <c r="K493" s="40"/>
      <c r="L493" s="40"/>
    </row>
    <row r="494" spans="1:12" ht="15.75" customHeight="1" x14ac:dyDescent="0.25">
      <c r="A494" s="40"/>
      <c r="B494" s="40"/>
      <c r="C494" s="40"/>
      <c r="D494" s="40"/>
      <c r="E494" s="41"/>
      <c r="F494" s="41"/>
      <c r="G494" s="40"/>
      <c r="H494" s="40"/>
      <c r="I494" s="40"/>
      <c r="J494" s="40"/>
      <c r="K494" s="40"/>
      <c r="L494" s="40"/>
    </row>
    <row r="495" spans="1:12" ht="15.75" customHeight="1" x14ac:dyDescent="0.25">
      <c r="A495" s="40"/>
      <c r="B495" s="40"/>
      <c r="C495" s="40"/>
      <c r="D495" s="40"/>
      <c r="E495" s="41"/>
      <c r="F495" s="41"/>
      <c r="G495" s="40"/>
      <c r="H495" s="40"/>
      <c r="I495" s="40"/>
      <c r="J495" s="40"/>
      <c r="K495" s="40"/>
      <c r="L495" s="40"/>
    </row>
    <row r="496" spans="1:12" ht="15.75" customHeight="1" x14ac:dyDescent="0.25">
      <c r="A496" s="40"/>
      <c r="B496" s="40"/>
      <c r="C496" s="40"/>
      <c r="D496" s="40"/>
      <c r="E496" s="41"/>
      <c r="F496" s="41"/>
      <c r="G496" s="40"/>
      <c r="H496" s="40"/>
      <c r="I496" s="40"/>
      <c r="J496" s="40"/>
      <c r="K496" s="40"/>
      <c r="L496" s="40"/>
    </row>
    <row r="497" spans="1:12" ht="15.75" customHeight="1" x14ac:dyDescent="0.25">
      <c r="A497" s="40"/>
      <c r="B497" s="40"/>
      <c r="C497" s="40"/>
      <c r="D497" s="40"/>
      <c r="E497" s="41"/>
      <c r="F497" s="41"/>
      <c r="G497" s="40"/>
      <c r="H497" s="40"/>
      <c r="I497" s="40"/>
      <c r="J497" s="40"/>
      <c r="K497" s="40"/>
      <c r="L497" s="40"/>
    </row>
    <row r="498" spans="1:12" ht="15.75" customHeight="1" x14ac:dyDescent="0.25">
      <c r="A498" s="40"/>
      <c r="B498" s="40"/>
      <c r="C498" s="40"/>
      <c r="D498" s="40"/>
      <c r="E498" s="41"/>
      <c r="F498" s="41"/>
      <c r="G498" s="40"/>
      <c r="H498" s="40"/>
      <c r="I498" s="40"/>
      <c r="J498" s="40"/>
      <c r="K498" s="40"/>
      <c r="L498" s="40"/>
    </row>
    <row r="499" spans="1:12" ht="15.75" customHeight="1" x14ac:dyDescent="0.25">
      <c r="A499" s="40"/>
      <c r="B499" s="40"/>
      <c r="C499" s="40"/>
      <c r="D499" s="40"/>
      <c r="E499" s="41"/>
      <c r="F499" s="41"/>
      <c r="G499" s="40"/>
      <c r="H499" s="40"/>
      <c r="I499" s="40"/>
      <c r="J499" s="40"/>
      <c r="K499" s="40"/>
      <c r="L499" s="40"/>
    </row>
    <row r="500" spans="1:12" ht="15.75" customHeight="1" x14ac:dyDescent="0.25">
      <c r="A500" s="40"/>
      <c r="B500" s="40"/>
      <c r="C500" s="40"/>
      <c r="D500" s="40"/>
      <c r="E500" s="41"/>
      <c r="F500" s="41"/>
      <c r="G500" s="40"/>
      <c r="H500" s="40"/>
      <c r="I500" s="40"/>
      <c r="J500" s="40"/>
      <c r="K500" s="40"/>
      <c r="L500" s="40"/>
    </row>
    <row r="501" spans="1:12" ht="15.75" customHeight="1" x14ac:dyDescent="0.25">
      <c r="A501" s="40"/>
      <c r="B501" s="40"/>
      <c r="C501" s="40"/>
      <c r="D501" s="40"/>
      <c r="E501" s="41"/>
      <c r="F501" s="41"/>
      <c r="G501" s="40"/>
      <c r="H501" s="40"/>
      <c r="I501" s="40"/>
      <c r="J501" s="40"/>
      <c r="K501" s="40"/>
      <c r="L501" s="40"/>
    </row>
    <row r="502" spans="1:12" ht="15.75" customHeight="1" x14ac:dyDescent="0.25">
      <c r="A502" s="40"/>
      <c r="B502" s="40"/>
      <c r="C502" s="40"/>
      <c r="D502" s="40"/>
      <c r="E502" s="41"/>
      <c r="F502" s="41"/>
      <c r="G502" s="40"/>
      <c r="H502" s="40"/>
      <c r="I502" s="40"/>
      <c r="J502" s="40"/>
      <c r="K502" s="40"/>
      <c r="L502" s="40"/>
    </row>
    <row r="503" spans="1:12" ht="15.75" customHeight="1" x14ac:dyDescent="0.25">
      <c r="A503" s="40"/>
      <c r="B503" s="40"/>
      <c r="C503" s="40"/>
      <c r="D503" s="40"/>
      <c r="E503" s="41"/>
      <c r="F503" s="41"/>
      <c r="G503" s="40"/>
      <c r="H503" s="40"/>
      <c r="I503" s="40"/>
      <c r="J503" s="40"/>
      <c r="K503" s="40"/>
      <c r="L503" s="40"/>
    </row>
    <row r="504" spans="1:12" ht="15.75" customHeight="1" x14ac:dyDescent="0.25">
      <c r="A504" s="40"/>
      <c r="B504" s="40"/>
      <c r="C504" s="40"/>
      <c r="D504" s="40"/>
      <c r="E504" s="41"/>
      <c r="F504" s="41"/>
      <c r="G504" s="40"/>
      <c r="H504" s="40"/>
      <c r="I504" s="40"/>
      <c r="J504" s="40"/>
      <c r="K504" s="40"/>
      <c r="L504" s="40"/>
    </row>
    <row r="505" spans="1:12" ht="15.75" customHeight="1" x14ac:dyDescent="0.25">
      <c r="A505" s="40"/>
      <c r="B505" s="40"/>
      <c r="C505" s="40"/>
      <c r="D505" s="40"/>
      <c r="E505" s="41"/>
      <c r="F505" s="41"/>
      <c r="G505" s="40"/>
      <c r="H505" s="40"/>
      <c r="I505" s="40"/>
      <c r="J505" s="40"/>
      <c r="K505" s="40"/>
      <c r="L505" s="40"/>
    </row>
    <row r="506" spans="1:12" ht="15.75" customHeight="1" x14ac:dyDescent="0.25">
      <c r="A506" s="40"/>
      <c r="B506" s="40"/>
      <c r="C506" s="40"/>
      <c r="D506" s="40"/>
      <c r="E506" s="41"/>
      <c r="F506" s="41"/>
      <c r="G506" s="40"/>
      <c r="H506" s="40"/>
      <c r="I506" s="40"/>
      <c r="J506" s="40"/>
      <c r="K506" s="40"/>
      <c r="L506" s="40"/>
    </row>
    <row r="507" spans="1:12" ht="15.75" customHeight="1" x14ac:dyDescent="0.25">
      <c r="A507" s="40"/>
      <c r="B507" s="40"/>
      <c r="C507" s="40"/>
      <c r="D507" s="40"/>
      <c r="E507" s="41"/>
      <c r="F507" s="41"/>
      <c r="G507" s="40"/>
      <c r="H507" s="40"/>
      <c r="I507" s="40"/>
      <c r="J507" s="40"/>
      <c r="K507" s="40"/>
      <c r="L507" s="40"/>
    </row>
    <row r="508" spans="1:12" ht="15.75" customHeight="1" x14ac:dyDescent="0.25">
      <c r="A508" s="40"/>
      <c r="B508" s="40"/>
      <c r="C508" s="40"/>
      <c r="D508" s="40"/>
      <c r="E508" s="41"/>
      <c r="F508" s="41"/>
      <c r="G508" s="40"/>
      <c r="H508" s="40"/>
      <c r="I508" s="40"/>
      <c r="J508" s="40"/>
      <c r="K508" s="40"/>
      <c r="L508" s="40"/>
    </row>
    <row r="509" spans="1:12" ht="15.75" customHeight="1" x14ac:dyDescent="0.25">
      <c r="A509" s="40"/>
      <c r="B509" s="40"/>
      <c r="C509" s="40"/>
      <c r="D509" s="40"/>
      <c r="E509" s="41"/>
      <c r="F509" s="41"/>
      <c r="G509" s="40"/>
      <c r="H509" s="40"/>
      <c r="I509" s="40"/>
      <c r="J509" s="40"/>
      <c r="K509" s="40"/>
      <c r="L509" s="40"/>
    </row>
    <row r="510" spans="1:12" ht="15.75" customHeight="1" x14ac:dyDescent="0.25">
      <c r="A510" s="40"/>
      <c r="B510" s="40"/>
      <c r="C510" s="40"/>
      <c r="D510" s="40"/>
      <c r="E510" s="41"/>
      <c r="F510" s="41"/>
      <c r="G510" s="40"/>
      <c r="H510" s="40"/>
      <c r="I510" s="40"/>
      <c r="J510" s="40"/>
      <c r="K510" s="40"/>
      <c r="L510" s="40"/>
    </row>
    <row r="511" spans="1:12" ht="15.75" customHeight="1" x14ac:dyDescent="0.25">
      <c r="A511" s="40"/>
      <c r="B511" s="40"/>
      <c r="C511" s="40"/>
      <c r="D511" s="40"/>
      <c r="E511" s="41"/>
      <c r="F511" s="41"/>
      <c r="G511" s="40"/>
      <c r="H511" s="40"/>
      <c r="I511" s="40"/>
      <c r="J511" s="40"/>
      <c r="K511" s="40"/>
      <c r="L511" s="40"/>
    </row>
    <row r="512" spans="1:12" ht="15.75" customHeight="1" x14ac:dyDescent="0.25">
      <c r="A512" s="40"/>
      <c r="B512" s="40"/>
      <c r="C512" s="40"/>
      <c r="D512" s="40"/>
      <c r="E512" s="41"/>
      <c r="F512" s="41"/>
      <c r="G512" s="40"/>
      <c r="H512" s="40"/>
      <c r="I512" s="40"/>
      <c r="J512" s="40"/>
      <c r="K512" s="40"/>
      <c r="L512" s="40"/>
    </row>
    <row r="513" spans="1:12" ht="15.75" customHeight="1" x14ac:dyDescent="0.25">
      <c r="A513" s="40"/>
      <c r="B513" s="40"/>
      <c r="C513" s="40"/>
      <c r="D513" s="40"/>
      <c r="E513" s="41"/>
      <c r="F513" s="41"/>
      <c r="G513" s="40"/>
      <c r="H513" s="40"/>
      <c r="I513" s="40"/>
      <c r="J513" s="40"/>
      <c r="K513" s="40"/>
      <c r="L513" s="40"/>
    </row>
    <row r="514" spans="1:12" ht="15.75" customHeight="1" x14ac:dyDescent="0.25">
      <c r="A514" s="40"/>
      <c r="B514" s="40"/>
      <c r="C514" s="40"/>
      <c r="D514" s="40"/>
      <c r="E514" s="41"/>
      <c r="F514" s="41"/>
      <c r="G514" s="40"/>
      <c r="H514" s="40"/>
      <c r="I514" s="40"/>
      <c r="J514" s="40"/>
      <c r="K514" s="40"/>
      <c r="L514" s="40"/>
    </row>
    <row r="515" spans="1:12" ht="15.75" customHeight="1" x14ac:dyDescent="0.25">
      <c r="A515" s="40"/>
      <c r="B515" s="40"/>
      <c r="C515" s="40"/>
      <c r="D515" s="40"/>
      <c r="E515" s="41"/>
      <c r="F515" s="41"/>
      <c r="G515" s="40"/>
      <c r="H515" s="40"/>
      <c r="I515" s="40"/>
      <c r="J515" s="40"/>
      <c r="K515" s="40"/>
      <c r="L515" s="40"/>
    </row>
    <row r="516" spans="1:12" ht="15.75" customHeight="1" x14ac:dyDescent="0.25">
      <c r="A516" s="40"/>
      <c r="B516" s="40"/>
      <c r="C516" s="40"/>
      <c r="D516" s="40"/>
      <c r="E516" s="41"/>
      <c r="F516" s="41"/>
      <c r="G516" s="40"/>
      <c r="H516" s="40"/>
      <c r="I516" s="40"/>
      <c r="J516" s="40"/>
      <c r="K516" s="40"/>
      <c r="L516" s="40"/>
    </row>
    <row r="517" spans="1:12" ht="15.75" customHeight="1" x14ac:dyDescent="0.25">
      <c r="A517" s="40"/>
      <c r="B517" s="40"/>
      <c r="C517" s="40"/>
      <c r="D517" s="40"/>
      <c r="E517" s="41"/>
      <c r="F517" s="41"/>
      <c r="G517" s="40"/>
      <c r="H517" s="40"/>
      <c r="I517" s="40"/>
      <c r="J517" s="40"/>
      <c r="K517" s="40"/>
      <c r="L517" s="40"/>
    </row>
    <row r="518" spans="1:12" ht="15.75" customHeight="1" x14ac:dyDescent="0.25">
      <c r="A518" s="40"/>
      <c r="B518" s="40"/>
      <c r="C518" s="40"/>
      <c r="D518" s="40"/>
      <c r="E518" s="41"/>
      <c r="F518" s="41"/>
      <c r="G518" s="40"/>
      <c r="H518" s="40"/>
      <c r="I518" s="40"/>
      <c r="J518" s="40"/>
      <c r="K518" s="40"/>
      <c r="L518" s="40"/>
    </row>
    <row r="519" spans="1:12" ht="15.75" customHeight="1" x14ac:dyDescent="0.25">
      <c r="A519" s="40"/>
      <c r="B519" s="40"/>
      <c r="C519" s="40"/>
      <c r="D519" s="40"/>
      <c r="E519" s="41"/>
      <c r="F519" s="41"/>
      <c r="G519" s="40"/>
      <c r="H519" s="40"/>
      <c r="I519" s="40"/>
      <c r="J519" s="40"/>
      <c r="K519" s="40"/>
      <c r="L519" s="40"/>
    </row>
    <row r="520" spans="1:12" ht="15.75" customHeight="1" x14ac:dyDescent="0.25">
      <c r="A520" s="40"/>
      <c r="B520" s="40"/>
      <c r="C520" s="40"/>
      <c r="D520" s="40"/>
      <c r="E520" s="41"/>
      <c r="F520" s="41"/>
      <c r="G520" s="40"/>
      <c r="H520" s="40"/>
      <c r="I520" s="40"/>
      <c r="J520" s="40"/>
      <c r="K520" s="40"/>
      <c r="L520" s="40"/>
    </row>
    <row r="521" spans="1:12" ht="15.75" customHeight="1" x14ac:dyDescent="0.25">
      <c r="A521" s="40"/>
      <c r="B521" s="40"/>
      <c r="C521" s="40"/>
      <c r="D521" s="40"/>
      <c r="E521" s="41"/>
      <c r="F521" s="41"/>
      <c r="G521" s="40"/>
      <c r="H521" s="40"/>
      <c r="I521" s="40"/>
      <c r="J521" s="40"/>
      <c r="K521" s="40"/>
      <c r="L521" s="40"/>
    </row>
    <row r="522" spans="1:12" ht="15.75" customHeight="1" x14ac:dyDescent="0.25">
      <c r="A522" s="40"/>
      <c r="B522" s="40"/>
      <c r="C522" s="40"/>
      <c r="D522" s="40"/>
      <c r="E522" s="41"/>
      <c r="F522" s="41"/>
      <c r="G522" s="40"/>
      <c r="H522" s="40"/>
      <c r="I522" s="40"/>
      <c r="J522" s="40"/>
      <c r="K522" s="40"/>
      <c r="L522" s="40"/>
    </row>
    <row r="523" spans="1:12" ht="15.75" customHeight="1" x14ac:dyDescent="0.25">
      <c r="A523" s="40"/>
      <c r="B523" s="40"/>
      <c r="C523" s="40"/>
      <c r="D523" s="40"/>
      <c r="E523" s="41"/>
      <c r="F523" s="41"/>
      <c r="G523" s="40"/>
      <c r="H523" s="40"/>
      <c r="I523" s="40"/>
      <c r="J523" s="40"/>
      <c r="K523" s="40"/>
      <c r="L523" s="40"/>
    </row>
    <row r="524" spans="1:12" ht="15.75" customHeight="1" x14ac:dyDescent="0.25">
      <c r="A524" s="40"/>
      <c r="B524" s="40"/>
      <c r="C524" s="40"/>
      <c r="D524" s="40"/>
      <c r="E524" s="41"/>
      <c r="F524" s="41"/>
      <c r="G524" s="40"/>
      <c r="H524" s="40"/>
      <c r="I524" s="40"/>
      <c r="J524" s="40"/>
      <c r="K524" s="40"/>
      <c r="L524" s="40"/>
    </row>
    <row r="525" spans="1:12" ht="15.75" customHeight="1" x14ac:dyDescent="0.25">
      <c r="A525" s="40"/>
      <c r="B525" s="40"/>
      <c r="C525" s="40"/>
      <c r="D525" s="40"/>
      <c r="E525" s="41"/>
      <c r="F525" s="41"/>
      <c r="G525" s="40"/>
      <c r="H525" s="40"/>
      <c r="I525" s="40"/>
      <c r="J525" s="40"/>
      <c r="K525" s="40"/>
      <c r="L525" s="40"/>
    </row>
    <row r="526" spans="1:12" ht="15.75" customHeight="1" x14ac:dyDescent="0.25">
      <c r="A526" s="40"/>
      <c r="B526" s="40"/>
      <c r="C526" s="40"/>
      <c r="D526" s="40"/>
      <c r="E526" s="41"/>
      <c r="F526" s="41"/>
      <c r="G526" s="40"/>
      <c r="H526" s="40"/>
      <c r="I526" s="40"/>
      <c r="J526" s="40"/>
      <c r="K526" s="40"/>
      <c r="L526" s="40"/>
    </row>
    <row r="527" spans="1:12" ht="15.75" customHeight="1" x14ac:dyDescent="0.25">
      <c r="A527" s="40"/>
      <c r="B527" s="40"/>
      <c r="C527" s="40"/>
      <c r="D527" s="40"/>
      <c r="E527" s="41"/>
      <c r="F527" s="41"/>
      <c r="G527" s="40"/>
      <c r="H527" s="40"/>
      <c r="I527" s="40"/>
      <c r="J527" s="40"/>
      <c r="K527" s="40"/>
      <c r="L527" s="40"/>
    </row>
    <row r="528" spans="1:12" ht="15.75" customHeight="1" x14ac:dyDescent="0.25">
      <c r="A528" s="40"/>
      <c r="B528" s="40"/>
      <c r="C528" s="40"/>
      <c r="D528" s="40"/>
      <c r="E528" s="41"/>
      <c r="F528" s="41"/>
      <c r="G528" s="40"/>
      <c r="H528" s="40"/>
      <c r="I528" s="40"/>
      <c r="J528" s="40"/>
      <c r="K528" s="40"/>
      <c r="L528" s="40"/>
    </row>
    <row r="529" spans="1:12" ht="15.75" customHeight="1" x14ac:dyDescent="0.25">
      <c r="A529" s="40"/>
      <c r="B529" s="40"/>
      <c r="C529" s="40"/>
      <c r="D529" s="40"/>
      <c r="E529" s="41"/>
      <c r="F529" s="41"/>
      <c r="G529" s="40"/>
      <c r="H529" s="40"/>
      <c r="I529" s="40"/>
      <c r="J529" s="40"/>
      <c r="K529" s="40"/>
      <c r="L529" s="40"/>
    </row>
    <row r="530" spans="1:12" ht="15.75" customHeight="1" x14ac:dyDescent="0.25">
      <c r="A530" s="40"/>
      <c r="B530" s="40"/>
      <c r="C530" s="40"/>
      <c r="D530" s="40"/>
      <c r="E530" s="41"/>
      <c r="F530" s="41"/>
      <c r="G530" s="40"/>
      <c r="H530" s="40"/>
      <c r="I530" s="40"/>
      <c r="J530" s="40"/>
      <c r="K530" s="40"/>
      <c r="L530" s="40"/>
    </row>
    <row r="531" spans="1:12" ht="15.75" customHeight="1" x14ac:dyDescent="0.25">
      <c r="A531" s="40"/>
      <c r="B531" s="40"/>
      <c r="C531" s="40"/>
      <c r="D531" s="40"/>
      <c r="E531" s="41"/>
      <c r="F531" s="41"/>
      <c r="G531" s="40"/>
      <c r="H531" s="40"/>
      <c r="I531" s="40"/>
      <c r="J531" s="40"/>
      <c r="K531" s="40"/>
      <c r="L531" s="40"/>
    </row>
    <row r="532" spans="1:12" ht="15.75" customHeight="1" x14ac:dyDescent="0.25">
      <c r="A532" s="40"/>
      <c r="B532" s="40"/>
      <c r="C532" s="40"/>
      <c r="D532" s="40"/>
      <c r="E532" s="41"/>
      <c r="F532" s="41"/>
      <c r="G532" s="40"/>
      <c r="H532" s="40"/>
      <c r="I532" s="40"/>
      <c r="J532" s="40"/>
      <c r="K532" s="40"/>
      <c r="L532" s="40"/>
    </row>
    <row r="533" spans="1:12" ht="15.75" customHeight="1" x14ac:dyDescent="0.25">
      <c r="A533" s="40"/>
      <c r="B533" s="40"/>
      <c r="C533" s="40"/>
      <c r="D533" s="40"/>
      <c r="E533" s="41"/>
      <c r="F533" s="41"/>
      <c r="G533" s="40"/>
      <c r="H533" s="40"/>
      <c r="I533" s="40"/>
      <c r="J533" s="40"/>
      <c r="K533" s="40"/>
      <c r="L533" s="40"/>
    </row>
    <row r="534" spans="1:12" ht="15.75" customHeight="1" x14ac:dyDescent="0.25">
      <c r="A534" s="40"/>
      <c r="B534" s="40"/>
      <c r="C534" s="40"/>
      <c r="D534" s="40"/>
      <c r="E534" s="41"/>
      <c r="F534" s="41"/>
      <c r="G534" s="40"/>
      <c r="H534" s="40"/>
      <c r="I534" s="40"/>
      <c r="J534" s="40"/>
      <c r="K534" s="40"/>
      <c r="L534" s="40"/>
    </row>
    <row r="535" spans="1:12" ht="15.75" customHeight="1" x14ac:dyDescent="0.25">
      <c r="A535" s="40"/>
      <c r="B535" s="40"/>
      <c r="C535" s="40"/>
      <c r="D535" s="40"/>
      <c r="E535" s="41"/>
      <c r="F535" s="41"/>
      <c r="G535" s="40"/>
      <c r="H535" s="40"/>
      <c r="I535" s="40"/>
      <c r="J535" s="40"/>
      <c r="K535" s="40"/>
      <c r="L535" s="40"/>
    </row>
    <row r="536" spans="1:12" ht="15.75" customHeight="1" x14ac:dyDescent="0.25">
      <c r="A536" s="40"/>
      <c r="B536" s="40"/>
      <c r="C536" s="40"/>
      <c r="D536" s="40"/>
      <c r="E536" s="41"/>
      <c r="F536" s="41"/>
      <c r="G536" s="40"/>
      <c r="H536" s="40"/>
      <c r="I536" s="40"/>
      <c r="J536" s="40"/>
      <c r="K536" s="40"/>
      <c r="L536" s="40"/>
    </row>
    <row r="537" spans="1:12" ht="15.75" customHeight="1" x14ac:dyDescent="0.25">
      <c r="A537" s="40"/>
      <c r="B537" s="40"/>
      <c r="C537" s="40"/>
      <c r="D537" s="40"/>
      <c r="E537" s="41"/>
      <c r="F537" s="41"/>
      <c r="G537" s="40"/>
      <c r="H537" s="40"/>
      <c r="I537" s="40"/>
      <c r="J537" s="40"/>
      <c r="K537" s="40"/>
      <c r="L537" s="40"/>
    </row>
    <row r="538" spans="1:12" ht="15.75" customHeight="1" x14ac:dyDescent="0.25">
      <c r="A538" s="40"/>
      <c r="B538" s="40"/>
      <c r="C538" s="40"/>
      <c r="D538" s="40"/>
      <c r="E538" s="41"/>
      <c r="F538" s="41"/>
      <c r="G538" s="40"/>
      <c r="H538" s="40"/>
      <c r="I538" s="40"/>
      <c r="J538" s="40"/>
      <c r="K538" s="40"/>
      <c r="L538" s="40"/>
    </row>
    <row r="539" spans="1:12" ht="15.75" customHeight="1" x14ac:dyDescent="0.25">
      <c r="A539" s="40"/>
      <c r="B539" s="40"/>
      <c r="C539" s="40"/>
      <c r="D539" s="40"/>
      <c r="E539" s="41"/>
      <c r="F539" s="41"/>
      <c r="G539" s="40"/>
      <c r="H539" s="40"/>
      <c r="I539" s="40"/>
      <c r="J539" s="40"/>
      <c r="K539" s="40"/>
      <c r="L539" s="40"/>
    </row>
    <row r="540" spans="1:12" ht="15.75" customHeight="1" x14ac:dyDescent="0.25">
      <c r="A540" s="40"/>
      <c r="B540" s="40"/>
      <c r="C540" s="40"/>
      <c r="D540" s="40"/>
      <c r="E540" s="41"/>
      <c r="F540" s="41"/>
      <c r="G540" s="40"/>
      <c r="H540" s="40"/>
      <c r="I540" s="40"/>
      <c r="J540" s="40"/>
      <c r="K540" s="40"/>
      <c r="L540" s="40"/>
    </row>
    <row r="541" spans="1:12" ht="15.75" customHeight="1" x14ac:dyDescent="0.25">
      <c r="A541" s="40"/>
      <c r="B541" s="40"/>
      <c r="C541" s="40"/>
      <c r="D541" s="40"/>
      <c r="E541" s="41"/>
      <c r="F541" s="41"/>
      <c r="G541" s="40"/>
      <c r="H541" s="40"/>
      <c r="I541" s="40"/>
      <c r="J541" s="40"/>
      <c r="K541" s="40"/>
      <c r="L541" s="40"/>
    </row>
    <row r="542" spans="1:12" ht="15.75" customHeight="1" x14ac:dyDescent="0.25">
      <c r="A542" s="40"/>
      <c r="B542" s="40"/>
      <c r="C542" s="40"/>
      <c r="D542" s="40"/>
      <c r="E542" s="41"/>
      <c r="F542" s="41"/>
      <c r="G542" s="40"/>
      <c r="H542" s="40"/>
      <c r="I542" s="40"/>
      <c r="J542" s="40"/>
      <c r="K542" s="40"/>
      <c r="L542" s="40"/>
    </row>
    <row r="543" spans="1:12" ht="15.75" customHeight="1" x14ac:dyDescent="0.25">
      <c r="A543" s="40"/>
      <c r="B543" s="40"/>
      <c r="C543" s="40"/>
      <c r="D543" s="40"/>
      <c r="E543" s="41"/>
      <c r="F543" s="41"/>
      <c r="G543" s="40"/>
      <c r="H543" s="40"/>
      <c r="I543" s="40"/>
      <c r="J543" s="40"/>
      <c r="K543" s="40"/>
      <c r="L543" s="40"/>
    </row>
    <row r="544" spans="1:12" ht="15.75" customHeight="1" x14ac:dyDescent="0.25">
      <c r="A544" s="40"/>
      <c r="B544" s="40"/>
      <c r="C544" s="40"/>
      <c r="D544" s="40"/>
      <c r="E544" s="41"/>
      <c r="F544" s="41"/>
      <c r="G544" s="40"/>
      <c r="H544" s="40"/>
      <c r="I544" s="40"/>
      <c r="J544" s="40"/>
      <c r="K544" s="40"/>
      <c r="L544" s="40"/>
    </row>
    <row r="545" spans="1:12" ht="15.75" customHeight="1" x14ac:dyDescent="0.25">
      <c r="A545" s="40"/>
      <c r="B545" s="40"/>
      <c r="C545" s="40"/>
      <c r="D545" s="40"/>
      <c r="E545" s="41"/>
      <c r="F545" s="41"/>
      <c r="G545" s="40"/>
      <c r="H545" s="40"/>
      <c r="I545" s="40"/>
      <c r="J545" s="40"/>
      <c r="K545" s="40"/>
      <c r="L545" s="40"/>
    </row>
    <row r="546" spans="1:12" ht="15.75" customHeight="1" x14ac:dyDescent="0.25">
      <c r="A546" s="40"/>
      <c r="B546" s="40"/>
      <c r="C546" s="40"/>
      <c r="D546" s="40"/>
      <c r="E546" s="41"/>
      <c r="F546" s="41"/>
      <c r="G546" s="40"/>
      <c r="H546" s="40"/>
      <c r="I546" s="40"/>
      <c r="J546" s="40"/>
      <c r="K546" s="40"/>
      <c r="L546" s="40"/>
    </row>
    <row r="547" spans="1:12" ht="15.75" customHeight="1" x14ac:dyDescent="0.25">
      <c r="A547" s="40"/>
      <c r="B547" s="40"/>
      <c r="C547" s="40"/>
      <c r="D547" s="40"/>
      <c r="E547" s="41"/>
      <c r="F547" s="41"/>
      <c r="G547" s="40"/>
      <c r="H547" s="40"/>
      <c r="I547" s="40"/>
      <c r="J547" s="40"/>
      <c r="K547" s="40"/>
      <c r="L547" s="40"/>
    </row>
    <row r="548" spans="1:12" ht="15.75" customHeight="1" x14ac:dyDescent="0.25">
      <c r="A548" s="40"/>
      <c r="B548" s="40"/>
      <c r="C548" s="40"/>
      <c r="D548" s="40"/>
      <c r="E548" s="41"/>
      <c r="F548" s="41"/>
      <c r="G548" s="40"/>
      <c r="H548" s="40"/>
      <c r="I548" s="40"/>
      <c r="J548" s="40"/>
      <c r="K548" s="40"/>
      <c r="L548" s="40"/>
    </row>
    <row r="549" spans="1:12" ht="15.75" customHeight="1" x14ac:dyDescent="0.25">
      <c r="A549" s="40"/>
      <c r="B549" s="40"/>
      <c r="C549" s="40"/>
      <c r="D549" s="40"/>
      <c r="E549" s="41"/>
      <c r="F549" s="41"/>
      <c r="G549" s="40"/>
      <c r="H549" s="40"/>
      <c r="I549" s="40"/>
      <c r="J549" s="40"/>
      <c r="K549" s="40"/>
      <c r="L549" s="40"/>
    </row>
    <row r="550" spans="1:12" ht="15.75" customHeight="1" x14ac:dyDescent="0.25">
      <c r="A550" s="40"/>
      <c r="B550" s="40"/>
      <c r="C550" s="40"/>
      <c r="D550" s="40"/>
      <c r="E550" s="41"/>
      <c r="F550" s="41"/>
      <c r="G550" s="40"/>
      <c r="H550" s="40"/>
      <c r="I550" s="40"/>
      <c r="J550" s="40"/>
      <c r="K550" s="40"/>
      <c r="L550" s="40"/>
    </row>
    <row r="551" spans="1:12" ht="15.75" customHeight="1" x14ac:dyDescent="0.25">
      <c r="A551" s="40"/>
      <c r="B551" s="40"/>
      <c r="C551" s="40"/>
      <c r="D551" s="40"/>
      <c r="E551" s="41"/>
      <c r="F551" s="41"/>
      <c r="G551" s="40"/>
      <c r="H551" s="40"/>
      <c r="I551" s="40"/>
      <c r="J551" s="40"/>
      <c r="K551" s="40"/>
      <c r="L551" s="40"/>
    </row>
    <row r="552" spans="1:12" ht="15.75" customHeight="1" x14ac:dyDescent="0.25">
      <c r="A552" s="40"/>
      <c r="B552" s="40"/>
      <c r="C552" s="40"/>
      <c r="D552" s="40"/>
      <c r="E552" s="41"/>
      <c r="F552" s="41"/>
      <c r="G552" s="40"/>
      <c r="H552" s="40"/>
      <c r="I552" s="40"/>
      <c r="J552" s="40"/>
      <c r="K552" s="40"/>
      <c r="L552" s="40"/>
    </row>
    <row r="553" spans="1:12" ht="15.75" customHeight="1" x14ac:dyDescent="0.25">
      <c r="A553" s="40"/>
      <c r="B553" s="40"/>
      <c r="C553" s="40"/>
      <c r="D553" s="40"/>
      <c r="E553" s="41"/>
      <c r="F553" s="41"/>
      <c r="G553" s="40"/>
      <c r="H553" s="40"/>
      <c r="I553" s="40"/>
      <c r="J553" s="40"/>
      <c r="K553" s="40"/>
      <c r="L553" s="40"/>
    </row>
    <row r="554" spans="1:12" ht="15.75" customHeight="1" x14ac:dyDescent="0.25">
      <c r="A554" s="40"/>
      <c r="B554" s="40"/>
      <c r="C554" s="40"/>
      <c r="D554" s="40"/>
      <c r="E554" s="41"/>
      <c r="F554" s="41"/>
      <c r="G554" s="40"/>
      <c r="H554" s="40"/>
      <c r="I554" s="40"/>
      <c r="J554" s="40"/>
      <c r="K554" s="40"/>
      <c r="L554" s="40"/>
    </row>
    <row r="555" spans="1:12" ht="15.75" customHeight="1" x14ac:dyDescent="0.25">
      <c r="A555" s="40"/>
      <c r="B555" s="40"/>
      <c r="C555" s="40"/>
      <c r="D555" s="40"/>
      <c r="E555" s="41"/>
      <c r="F555" s="41"/>
      <c r="G555" s="40"/>
      <c r="H555" s="40"/>
      <c r="I555" s="40"/>
      <c r="J555" s="40"/>
      <c r="K555" s="40"/>
      <c r="L555" s="40"/>
    </row>
    <row r="556" spans="1:12" ht="15.75" customHeight="1" x14ac:dyDescent="0.25">
      <c r="A556" s="40"/>
      <c r="B556" s="40"/>
      <c r="C556" s="40"/>
      <c r="D556" s="40"/>
      <c r="E556" s="41"/>
      <c r="F556" s="41"/>
      <c r="G556" s="40"/>
      <c r="H556" s="40"/>
      <c r="I556" s="40"/>
      <c r="J556" s="40"/>
      <c r="K556" s="40"/>
      <c r="L556" s="40"/>
    </row>
    <row r="557" spans="1:12" ht="15.75" customHeight="1" x14ac:dyDescent="0.25">
      <c r="A557" s="40"/>
      <c r="B557" s="40"/>
      <c r="C557" s="40"/>
      <c r="D557" s="40"/>
      <c r="E557" s="41"/>
      <c r="F557" s="41"/>
      <c r="G557" s="40"/>
      <c r="H557" s="40"/>
      <c r="I557" s="40"/>
      <c r="J557" s="40"/>
      <c r="K557" s="40"/>
      <c r="L557" s="40"/>
    </row>
    <row r="558" spans="1:12" ht="15.75" customHeight="1" x14ac:dyDescent="0.25">
      <c r="A558" s="40"/>
      <c r="B558" s="40"/>
      <c r="C558" s="40"/>
      <c r="D558" s="40"/>
      <c r="E558" s="41"/>
      <c r="F558" s="41"/>
      <c r="G558" s="40"/>
      <c r="H558" s="40"/>
      <c r="I558" s="40"/>
      <c r="J558" s="40"/>
      <c r="K558" s="40"/>
      <c r="L558" s="40"/>
    </row>
    <row r="559" spans="1:12" ht="15.75" customHeight="1" x14ac:dyDescent="0.25">
      <c r="A559" s="40"/>
      <c r="B559" s="40"/>
      <c r="C559" s="40"/>
      <c r="D559" s="40"/>
      <c r="E559" s="41"/>
      <c r="F559" s="41"/>
      <c r="G559" s="40"/>
      <c r="H559" s="40"/>
      <c r="I559" s="40"/>
      <c r="J559" s="40"/>
      <c r="K559" s="40"/>
      <c r="L559" s="40"/>
    </row>
    <row r="560" spans="1:12" ht="15.75" customHeight="1" x14ac:dyDescent="0.25">
      <c r="A560" s="40"/>
      <c r="B560" s="40"/>
      <c r="C560" s="40"/>
      <c r="D560" s="40"/>
      <c r="E560" s="41"/>
      <c r="F560" s="41"/>
      <c r="G560" s="40"/>
      <c r="H560" s="40"/>
      <c r="I560" s="40"/>
      <c r="J560" s="40"/>
      <c r="K560" s="40"/>
      <c r="L560" s="40"/>
    </row>
    <row r="561" spans="1:12" ht="15.75" customHeight="1" x14ac:dyDescent="0.25">
      <c r="A561" s="40"/>
      <c r="B561" s="40"/>
      <c r="C561" s="40"/>
      <c r="D561" s="40"/>
      <c r="E561" s="41"/>
      <c r="F561" s="41"/>
      <c r="G561" s="40"/>
      <c r="H561" s="40"/>
      <c r="I561" s="40"/>
      <c r="J561" s="40"/>
      <c r="K561" s="40"/>
      <c r="L561" s="40"/>
    </row>
    <row r="562" spans="1:12" ht="15.75" customHeight="1" x14ac:dyDescent="0.25">
      <c r="A562" s="40"/>
      <c r="B562" s="40"/>
      <c r="C562" s="40"/>
      <c r="D562" s="40"/>
      <c r="E562" s="41"/>
      <c r="F562" s="41"/>
      <c r="G562" s="40"/>
      <c r="H562" s="40"/>
      <c r="I562" s="40"/>
      <c r="J562" s="40"/>
      <c r="K562" s="40"/>
      <c r="L562" s="40"/>
    </row>
    <row r="563" spans="1:12" ht="15.75" customHeight="1" x14ac:dyDescent="0.25">
      <c r="A563" s="40"/>
      <c r="B563" s="40"/>
      <c r="C563" s="40"/>
      <c r="D563" s="40"/>
      <c r="E563" s="41"/>
      <c r="F563" s="41"/>
      <c r="G563" s="40"/>
      <c r="H563" s="40"/>
      <c r="I563" s="40"/>
      <c r="J563" s="40"/>
      <c r="K563" s="40"/>
      <c r="L563" s="40"/>
    </row>
    <row r="564" spans="1:12" ht="15.75" customHeight="1" x14ac:dyDescent="0.25">
      <c r="A564" s="40"/>
      <c r="B564" s="40"/>
      <c r="C564" s="40"/>
      <c r="D564" s="40"/>
      <c r="E564" s="41"/>
      <c r="F564" s="41"/>
      <c r="G564" s="40"/>
      <c r="H564" s="40"/>
      <c r="I564" s="40"/>
      <c r="J564" s="40"/>
      <c r="K564" s="40"/>
      <c r="L564" s="40"/>
    </row>
    <row r="565" spans="1:12" ht="15.75" customHeight="1" x14ac:dyDescent="0.25">
      <c r="A565" s="40"/>
      <c r="B565" s="40"/>
      <c r="C565" s="40"/>
      <c r="D565" s="40"/>
      <c r="E565" s="41"/>
      <c r="F565" s="41"/>
      <c r="G565" s="40"/>
      <c r="H565" s="40"/>
      <c r="I565" s="40"/>
      <c r="J565" s="40"/>
      <c r="K565" s="40"/>
      <c r="L565" s="40"/>
    </row>
    <row r="566" spans="1:12" ht="15.75" customHeight="1" x14ac:dyDescent="0.25">
      <c r="A566" s="40"/>
      <c r="B566" s="40"/>
      <c r="C566" s="40"/>
      <c r="D566" s="40"/>
      <c r="E566" s="41"/>
      <c r="F566" s="41"/>
      <c r="G566" s="40"/>
      <c r="H566" s="40"/>
      <c r="I566" s="40"/>
      <c r="J566" s="40"/>
      <c r="K566" s="40"/>
      <c r="L566" s="40"/>
    </row>
    <row r="567" spans="1:12" ht="15.75" customHeight="1" x14ac:dyDescent="0.25">
      <c r="A567" s="40"/>
      <c r="B567" s="40"/>
      <c r="C567" s="40"/>
      <c r="D567" s="40"/>
      <c r="E567" s="41"/>
      <c r="F567" s="41"/>
      <c r="G567" s="40"/>
      <c r="H567" s="40"/>
      <c r="I567" s="40"/>
      <c r="J567" s="40"/>
      <c r="K567" s="40"/>
      <c r="L567" s="40"/>
    </row>
    <row r="568" spans="1:12" ht="15.75" customHeight="1" x14ac:dyDescent="0.25">
      <c r="A568" s="40"/>
      <c r="B568" s="40"/>
      <c r="C568" s="40"/>
      <c r="D568" s="40"/>
      <c r="E568" s="41"/>
      <c r="F568" s="41"/>
      <c r="G568" s="40"/>
      <c r="H568" s="40"/>
      <c r="I568" s="40"/>
      <c r="J568" s="40"/>
      <c r="K568" s="40"/>
      <c r="L568" s="40"/>
    </row>
    <row r="569" spans="1:12" ht="15.75" customHeight="1" x14ac:dyDescent="0.25">
      <c r="A569" s="40"/>
      <c r="B569" s="40"/>
      <c r="C569" s="40"/>
      <c r="D569" s="40"/>
      <c r="E569" s="41"/>
      <c r="F569" s="41"/>
      <c r="G569" s="40"/>
      <c r="H569" s="40"/>
      <c r="I569" s="40"/>
      <c r="J569" s="40"/>
      <c r="K569" s="40"/>
      <c r="L569" s="40"/>
    </row>
    <row r="570" spans="1:12" ht="15.75" customHeight="1" x14ac:dyDescent="0.25">
      <c r="A570" s="40"/>
      <c r="B570" s="40"/>
      <c r="C570" s="40"/>
      <c r="D570" s="40"/>
      <c r="E570" s="41"/>
      <c r="F570" s="41"/>
      <c r="G570" s="40"/>
      <c r="H570" s="40"/>
      <c r="I570" s="40"/>
      <c r="J570" s="40"/>
      <c r="K570" s="40"/>
      <c r="L570" s="40"/>
    </row>
    <row r="571" spans="1:12" ht="15.75" customHeight="1" x14ac:dyDescent="0.25">
      <c r="A571" s="40"/>
      <c r="B571" s="40"/>
      <c r="C571" s="40"/>
      <c r="D571" s="40"/>
      <c r="E571" s="41"/>
      <c r="F571" s="41"/>
      <c r="G571" s="40"/>
      <c r="H571" s="40"/>
      <c r="I571" s="40"/>
      <c r="J571" s="40"/>
      <c r="K571" s="40"/>
      <c r="L571" s="40"/>
    </row>
    <row r="572" spans="1:12" ht="15.75" customHeight="1" x14ac:dyDescent="0.25">
      <c r="A572" s="40"/>
      <c r="B572" s="40"/>
      <c r="C572" s="40"/>
      <c r="D572" s="40"/>
      <c r="E572" s="41"/>
      <c r="F572" s="41"/>
      <c r="G572" s="40"/>
      <c r="H572" s="40"/>
      <c r="I572" s="40"/>
      <c r="J572" s="40"/>
      <c r="K572" s="40"/>
      <c r="L572" s="40"/>
    </row>
    <row r="573" spans="1:12" ht="15.75" customHeight="1" x14ac:dyDescent="0.25">
      <c r="A573" s="40"/>
      <c r="B573" s="40"/>
      <c r="C573" s="40"/>
      <c r="D573" s="40"/>
      <c r="E573" s="41"/>
      <c r="F573" s="41"/>
      <c r="G573" s="40"/>
      <c r="H573" s="40"/>
      <c r="I573" s="40"/>
      <c r="J573" s="40"/>
      <c r="K573" s="40"/>
      <c r="L573" s="40"/>
    </row>
    <row r="574" spans="1:12" ht="15.75" customHeight="1" x14ac:dyDescent="0.25">
      <c r="A574" s="40"/>
      <c r="B574" s="40"/>
      <c r="C574" s="40"/>
      <c r="D574" s="40"/>
      <c r="E574" s="41"/>
      <c r="F574" s="41"/>
      <c r="G574" s="40"/>
      <c r="H574" s="40"/>
      <c r="I574" s="40"/>
      <c r="J574" s="40"/>
      <c r="K574" s="40"/>
      <c r="L574" s="40"/>
    </row>
    <row r="575" spans="1:12" ht="15.75" customHeight="1" x14ac:dyDescent="0.25">
      <c r="A575" s="40"/>
      <c r="B575" s="40"/>
      <c r="C575" s="40"/>
      <c r="D575" s="40"/>
      <c r="E575" s="41"/>
      <c r="F575" s="41"/>
      <c r="G575" s="40"/>
      <c r="H575" s="40"/>
      <c r="I575" s="40"/>
      <c r="J575" s="40"/>
      <c r="K575" s="40"/>
      <c r="L575" s="40"/>
    </row>
    <row r="576" spans="1:12" ht="15.75" customHeight="1" x14ac:dyDescent="0.25">
      <c r="A576" s="40"/>
      <c r="B576" s="40"/>
      <c r="C576" s="40"/>
      <c r="D576" s="40"/>
      <c r="E576" s="41"/>
      <c r="F576" s="41"/>
      <c r="G576" s="40"/>
      <c r="H576" s="40"/>
      <c r="I576" s="40"/>
      <c r="J576" s="40"/>
      <c r="K576" s="40"/>
      <c r="L576" s="40"/>
    </row>
    <row r="577" spans="1:12" ht="15.75" customHeight="1" x14ac:dyDescent="0.25">
      <c r="A577" s="40"/>
      <c r="B577" s="40"/>
      <c r="C577" s="40"/>
      <c r="D577" s="40"/>
      <c r="E577" s="41"/>
      <c r="F577" s="41"/>
      <c r="G577" s="40"/>
      <c r="H577" s="40"/>
      <c r="I577" s="40"/>
      <c r="J577" s="40"/>
      <c r="K577" s="40"/>
      <c r="L577" s="40"/>
    </row>
    <row r="578" spans="1:12" ht="15.75" customHeight="1" x14ac:dyDescent="0.25">
      <c r="A578" s="40"/>
      <c r="B578" s="40"/>
      <c r="C578" s="40"/>
      <c r="D578" s="40"/>
      <c r="E578" s="41"/>
      <c r="F578" s="41"/>
      <c r="G578" s="40"/>
      <c r="H578" s="40"/>
      <c r="I578" s="40"/>
      <c r="J578" s="40"/>
      <c r="K578" s="40"/>
      <c r="L578" s="40"/>
    </row>
    <row r="579" spans="1:12" ht="15.75" customHeight="1" x14ac:dyDescent="0.25">
      <c r="A579" s="40"/>
      <c r="B579" s="40"/>
      <c r="C579" s="40"/>
      <c r="D579" s="40"/>
      <c r="E579" s="41"/>
      <c r="F579" s="41"/>
      <c r="G579" s="40"/>
      <c r="H579" s="40"/>
      <c r="I579" s="40"/>
      <c r="J579" s="40"/>
      <c r="K579" s="40"/>
      <c r="L579" s="40"/>
    </row>
    <row r="580" spans="1:12" ht="15.75" customHeight="1" x14ac:dyDescent="0.25">
      <c r="A580" s="40"/>
      <c r="B580" s="40"/>
      <c r="C580" s="40"/>
      <c r="D580" s="40"/>
      <c r="E580" s="41"/>
      <c r="F580" s="41"/>
      <c r="G580" s="40"/>
      <c r="H580" s="40"/>
      <c r="I580" s="40"/>
      <c r="J580" s="40"/>
      <c r="K580" s="40"/>
      <c r="L580" s="40"/>
    </row>
    <row r="581" spans="1:12" ht="15.75" customHeight="1" x14ac:dyDescent="0.25">
      <c r="A581" s="40"/>
      <c r="B581" s="40"/>
      <c r="C581" s="40"/>
      <c r="D581" s="40"/>
      <c r="E581" s="41"/>
      <c r="F581" s="41"/>
      <c r="G581" s="40"/>
      <c r="H581" s="40"/>
      <c r="I581" s="40"/>
      <c r="J581" s="40"/>
      <c r="K581" s="40"/>
      <c r="L581" s="40"/>
    </row>
    <row r="582" spans="1:12" ht="15.75" customHeight="1" x14ac:dyDescent="0.25">
      <c r="A582" s="40"/>
      <c r="B582" s="40"/>
      <c r="C582" s="40"/>
      <c r="D582" s="40"/>
      <c r="E582" s="41"/>
      <c r="F582" s="41"/>
      <c r="G582" s="40"/>
      <c r="H582" s="40"/>
      <c r="I582" s="40"/>
      <c r="J582" s="40"/>
      <c r="K582" s="40"/>
      <c r="L582" s="40"/>
    </row>
    <row r="583" spans="1:12" ht="15.75" customHeight="1" x14ac:dyDescent="0.25">
      <c r="A583" s="40"/>
      <c r="B583" s="40"/>
      <c r="C583" s="40"/>
      <c r="D583" s="40"/>
      <c r="E583" s="41"/>
      <c r="F583" s="41"/>
      <c r="G583" s="40"/>
      <c r="H583" s="40"/>
      <c r="I583" s="40"/>
      <c r="J583" s="40"/>
      <c r="K583" s="40"/>
      <c r="L583" s="40"/>
    </row>
    <row r="584" spans="1:12" ht="15.75" customHeight="1" x14ac:dyDescent="0.25">
      <c r="A584" s="40"/>
      <c r="B584" s="40"/>
      <c r="C584" s="40"/>
      <c r="D584" s="40"/>
      <c r="E584" s="41"/>
      <c r="F584" s="41"/>
      <c r="G584" s="40"/>
      <c r="H584" s="40"/>
      <c r="I584" s="40"/>
      <c r="J584" s="40"/>
      <c r="K584" s="40"/>
      <c r="L584" s="40"/>
    </row>
    <row r="585" spans="1:12" ht="15.75" customHeight="1" x14ac:dyDescent="0.25">
      <c r="A585" s="40"/>
      <c r="B585" s="40"/>
      <c r="C585" s="40"/>
      <c r="D585" s="40"/>
      <c r="E585" s="41"/>
      <c r="F585" s="41"/>
      <c r="G585" s="40"/>
      <c r="H585" s="40"/>
      <c r="I585" s="40"/>
      <c r="J585" s="40"/>
      <c r="K585" s="40"/>
      <c r="L585" s="40"/>
    </row>
    <row r="586" spans="1:12" ht="15.75" customHeight="1" x14ac:dyDescent="0.25">
      <c r="A586" s="40"/>
      <c r="B586" s="40"/>
      <c r="C586" s="40"/>
      <c r="D586" s="40"/>
      <c r="E586" s="41"/>
      <c r="F586" s="41"/>
      <c r="G586" s="40"/>
      <c r="H586" s="40"/>
      <c r="I586" s="40"/>
      <c r="J586" s="40"/>
      <c r="K586" s="40"/>
      <c r="L586" s="40"/>
    </row>
    <row r="587" spans="1:12" ht="15.75" customHeight="1" x14ac:dyDescent="0.25">
      <c r="A587" s="40"/>
      <c r="B587" s="40"/>
      <c r="C587" s="40"/>
      <c r="D587" s="40"/>
      <c r="E587" s="41"/>
      <c r="F587" s="41"/>
      <c r="G587" s="40"/>
      <c r="H587" s="40"/>
      <c r="I587" s="40"/>
      <c r="J587" s="40"/>
      <c r="K587" s="40"/>
      <c r="L587" s="40"/>
    </row>
    <row r="588" spans="1:12" ht="15.75" customHeight="1" x14ac:dyDescent="0.25">
      <c r="A588" s="40"/>
      <c r="B588" s="40"/>
      <c r="C588" s="40"/>
      <c r="D588" s="40"/>
      <c r="E588" s="41"/>
      <c r="F588" s="41"/>
      <c r="G588" s="40"/>
      <c r="H588" s="40"/>
      <c r="I588" s="40"/>
      <c r="J588" s="40"/>
      <c r="K588" s="40"/>
      <c r="L588" s="40"/>
    </row>
    <row r="589" spans="1:12" ht="15.75" customHeight="1" x14ac:dyDescent="0.25">
      <c r="A589" s="40"/>
      <c r="B589" s="40"/>
      <c r="C589" s="40"/>
      <c r="D589" s="40"/>
      <c r="E589" s="41"/>
      <c r="F589" s="41"/>
      <c r="G589" s="40"/>
      <c r="H589" s="40"/>
      <c r="I589" s="40"/>
      <c r="J589" s="40"/>
      <c r="K589" s="40"/>
      <c r="L589" s="40"/>
    </row>
    <row r="590" spans="1:12" ht="15.75" customHeight="1" x14ac:dyDescent="0.25">
      <c r="A590" s="40"/>
      <c r="B590" s="40"/>
      <c r="C590" s="40"/>
      <c r="D590" s="40"/>
      <c r="E590" s="41"/>
      <c r="F590" s="41"/>
      <c r="G590" s="40"/>
      <c r="H590" s="40"/>
      <c r="I590" s="40"/>
      <c r="J590" s="40"/>
      <c r="K590" s="40"/>
      <c r="L590" s="40"/>
    </row>
    <row r="591" spans="1:12" ht="15.75" customHeight="1" x14ac:dyDescent="0.25">
      <c r="A591" s="40"/>
      <c r="B591" s="40"/>
      <c r="C591" s="40"/>
      <c r="D591" s="40"/>
      <c r="E591" s="41"/>
      <c r="F591" s="41"/>
      <c r="G591" s="40"/>
      <c r="H591" s="40"/>
      <c r="I591" s="40"/>
      <c r="J591" s="40"/>
      <c r="K591" s="40"/>
      <c r="L591" s="40"/>
    </row>
    <row r="592" spans="1:12" ht="15.75" customHeight="1" x14ac:dyDescent="0.25">
      <c r="A592" s="40"/>
      <c r="B592" s="40"/>
      <c r="C592" s="40"/>
      <c r="D592" s="40"/>
      <c r="E592" s="41"/>
      <c r="F592" s="41"/>
      <c r="G592" s="40"/>
      <c r="H592" s="40"/>
      <c r="I592" s="40"/>
      <c r="J592" s="40"/>
      <c r="K592" s="40"/>
      <c r="L592" s="40"/>
    </row>
    <row r="593" spans="1:12" ht="15.75" customHeight="1" x14ac:dyDescent="0.25">
      <c r="A593" s="40"/>
      <c r="B593" s="40"/>
      <c r="C593" s="40"/>
      <c r="D593" s="40"/>
      <c r="E593" s="41"/>
      <c r="F593" s="41"/>
      <c r="G593" s="40"/>
      <c r="H593" s="40"/>
      <c r="I593" s="40"/>
      <c r="J593" s="40"/>
      <c r="K593" s="40"/>
      <c r="L593" s="40"/>
    </row>
    <row r="594" spans="1:12" ht="15.75" customHeight="1" x14ac:dyDescent="0.25">
      <c r="A594" s="40"/>
      <c r="B594" s="40"/>
      <c r="C594" s="40"/>
      <c r="D594" s="40"/>
      <c r="E594" s="41"/>
      <c r="F594" s="41"/>
      <c r="G594" s="40"/>
      <c r="H594" s="40"/>
      <c r="I594" s="40"/>
      <c r="J594" s="40"/>
      <c r="K594" s="40"/>
      <c r="L594" s="40"/>
    </row>
    <row r="595" spans="1:12" ht="15.75" customHeight="1" x14ac:dyDescent="0.25">
      <c r="A595" s="40"/>
      <c r="B595" s="40"/>
      <c r="C595" s="40"/>
      <c r="D595" s="40"/>
      <c r="E595" s="41"/>
      <c r="F595" s="41"/>
      <c r="G595" s="40"/>
      <c r="H595" s="40"/>
      <c r="I595" s="40"/>
      <c r="J595" s="40"/>
      <c r="K595" s="40"/>
      <c r="L595" s="40"/>
    </row>
    <row r="596" spans="1:12" ht="15.75" customHeight="1" x14ac:dyDescent="0.25">
      <c r="A596" s="40"/>
      <c r="B596" s="40"/>
      <c r="C596" s="40"/>
      <c r="D596" s="40"/>
      <c r="E596" s="41"/>
      <c r="F596" s="41"/>
      <c r="G596" s="40"/>
      <c r="H596" s="40"/>
      <c r="I596" s="40"/>
      <c r="J596" s="40"/>
      <c r="K596" s="40"/>
      <c r="L596" s="40"/>
    </row>
    <row r="597" spans="1:12" ht="15.75" customHeight="1" x14ac:dyDescent="0.25">
      <c r="A597" s="40"/>
      <c r="B597" s="40"/>
      <c r="C597" s="40"/>
      <c r="D597" s="40"/>
      <c r="E597" s="41"/>
      <c r="F597" s="41"/>
      <c r="G597" s="40"/>
      <c r="H597" s="40"/>
      <c r="I597" s="40"/>
      <c r="J597" s="40"/>
      <c r="K597" s="40"/>
      <c r="L597" s="40"/>
    </row>
    <row r="598" spans="1:12" ht="15.75" customHeight="1" x14ac:dyDescent="0.25">
      <c r="A598" s="40"/>
      <c r="B598" s="40"/>
      <c r="C598" s="40"/>
      <c r="D598" s="40"/>
      <c r="E598" s="41"/>
      <c r="F598" s="41"/>
      <c r="G598" s="40"/>
      <c r="H598" s="40"/>
      <c r="I598" s="40"/>
      <c r="J598" s="40"/>
      <c r="K598" s="40"/>
      <c r="L598" s="40"/>
    </row>
    <row r="599" spans="1:12" ht="15.75" customHeight="1" x14ac:dyDescent="0.25">
      <c r="A599" s="40"/>
      <c r="B599" s="40"/>
      <c r="C599" s="40"/>
      <c r="D599" s="40"/>
      <c r="E599" s="41"/>
      <c r="F599" s="41"/>
      <c r="G599" s="40"/>
      <c r="H599" s="40"/>
      <c r="I599" s="40"/>
      <c r="J599" s="40"/>
      <c r="K599" s="40"/>
      <c r="L599" s="40"/>
    </row>
    <row r="600" spans="1:12" ht="15.75" customHeight="1" x14ac:dyDescent="0.25">
      <c r="A600" s="40"/>
      <c r="B600" s="40"/>
      <c r="C600" s="40"/>
      <c r="D600" s="40"/>
      <c r="E600" s="41"/>
      <c r="F600" s="41"/>
      <c r="G600" s="40"/>
      <c r="H600" s="40"/>
      <c r="I600" s="40"/>
      <c r="J600" s="40"/>
      <c r="K600" s="40"/>
      <c r="L600" s="40"/>
    </row>
    <row r="601" spans="1:12" ht="15.75" customHeight="1" x14ac:dyDescent="0.25">
      <c r="A601" s="40"/>
      <c r="B601" s="40"/>
      <c r="C601" s="40"/>
      <c r="D601" s="40"/>
      <c r="E601" s="41"/>
      <c r="F601" s="41"/>
      <c r="G601" s="40"/>
      <c r="H601" s="40"/>
      <c r="I601" s="40"/>
      <c r="J601" s="40"/>
      <c r="K601" s="40"/>
      <c r="L601" s="40"/>
    </row>
    <row r="602" spans="1:12" ht="15.75" customHeight="1" x14ac:dyDescent="0.25">
      <c r="A602" s="40"/>
      <c r="B602" s="40"/>
      <c r="C602" s="40"/>
      <c r="D602" s="40"/>
      <c r="E602" s="41"/>
      <c r="F602" s="41"/>
      <c r="G602" s="40"/>
      <c r="H602" s="40"/>
      <c r="I602" s="40"/>
      <c r="J602" s="40"/>
      <c r="K602" s="40"/>
      <c r="L602" s="40"/>
    </row>
    <row r="603" spans="1:12" ht="15.75" customHeight="1" x14ac:dyDescent="0.25">
      <c r="A603" s="40"/>
      <c r="B603" s="40"/>
      <c r="C603" s="40"/>
      <c r="D603" s="40"/>
      <c r="E603" s="41"/>
      <c r="F603" s="41"/>
      <c r="G603" s="40"/>
      <c r="H603" s="40"/>
      <c r="I603" s="40"/>
      <c r="J603" s="40"/>
      <c r="K603" s="40"/>
      <c r="L603" s="40"/>
    </row>
    <row r="604" spans="1:12" ht="15.75" customHeight="1" x14ac:dyDescent="0.25">
      <c r="A604" s="40"/>
      <c r="B604" s="40"/>
      <c r="C604" s="40"/>
      <c r="D604" s="40"/>
      <c r="E604" s="41"/>
      <c r="F604" s="41"/>
      <c r="G604" s="40"/>
      <c r="H604" s="40"/>
      <c r="I604" s="40"/>
      <c r="J604" s="40"/>
      <c r="K604" s="40"/>
      <c r="L604" s="40"/>
    </row>
    <row r="605" spans="1:12" ht="15.75" customHeight="1" x14ac:dyDescent="0.25">
      <c r="A605" s="40"/>
      <c r="B605" s="40"/>
      <c r="C605" s="40"/>
      <c r="D605" s="40"/>
      <c r="E605" s="41"/>
      <c r="F605" s="41"/>
      <c r="G605" s="40"/>
      <c r="H605" s="40"/>
      <c r="I605" s="40"/>
      <c r="J605" s="40"/>
      <c r="K605" s="40"/>
      <c r="L605" s="40"/>
    </row>
    <row r="606" spans="1:12" ht="15.75" customHeight="1" x14ac:dyDescent="0.25">
      <c r="A606" s="40"/>
      <c r="B606" s="40"/>
      <c r="C606" s="40"/>
      <c r="D606" s="40"/>
      <c r="E606" s="41"/>
      <c r="F606" s="41"/>
      <c r="G606" s="40"/>
      <c r="H606" s="40"/>
      <c r="I606" s="40"/>
      <c r="J606" s="40"/>
      <c r="K606" s="40"/>
      <c r="L606" s="40"/>
    </row>
    <row r="607" spans="1:12" ht="15.75" customHeight="1" x14ac:dyDescent="0.25">
      <c r="A607" s="40"/>
      <c r="B607" s="40"/>
      <c r="C607" s="40"/>
      <c r="D607" s="40"/>
      <c r="E607" s="41"/>
      <c r="F607" s="41"/>
      <c r="G607" s="40"/>
      <c r="H607" s="40"/>
      <c r="I607" s="40"/>
      <c r="J607" s="40"/>
      <c r="K607" s="40"/>
      <c r="L607" s="40"/>
    </row>
    <row r="608" spans="1:12" ht="15.75" customHeight="1" x14ac:dyDescent="0.25">
      <c r="A608" s="40"/>
      <c r="B608" s="40"/>
      <c r="C608" s="40"/>
      <c r="D608" s="40"/>
      <c r="E608" s="41"/>
      <c r="F608" s="41"/>
      <c r="G608" s="40"/>
      <c r="H608" s="40"/>
      <c r="I608" s="40"/>
      <c r="J608" s="40"/>
      <c r="K608" s="40"/>
      <c r="L608" s="40"/>
    </row>
    <row r="609" spans="1:12" ht="15.75" customHeight="1" x14ac:dyDescent="0.25">
      <c r="A609" s="40"/>
      <c r="B609" s="40"/>
      <c r="C609" s="40"/>
      <c r="D609" s="40"/>
      <c r="E609" s="41"/>
      <c r="F609" s="41"/>
      <c r="G609" s="40"/>
      <c r="H609" s="40"/>
      <c r="I609" s="40"/>
      <c r="J609" s="40"/>
      <c r="K609" s="40"/>
      <c r="L609" s="40"/>
    </row>
    <row r="610" spans="1:12" ht="15.75" customHeight="1" x14ac:dyDescent="0.25">
      <c r="A610" s="40"/>
      <c r="B610" s="40"/>
      <c r="C610" s="40"/>
      <c r="D610" s="40"/>
      <c r="E610" s="41"/>
      <c r="F610" s="41"/>
      <c r="G610" s="40"/>
      <c r="H610" s="40"/>
      <c r="I610" s="40"/>
      <c r="J610" s="40"/>
      <c r="K610" s="40"/>
      <c r="L610" s="40"/>
    </row>
    <row r="611" spans="1:12" ht="15.75" customHeight="1" x14ac:dyDescent="0.25">
      <c r="A611" s="40"/>
      <c r="B611" s="40"/>
      <c r="C611" s="40"/>
      <c r="D611" s="40"/>
      <c r="E611" s="41"/>
      <c r="F611" s="41"/>
      <c r="G611" s="40"/>
      <c r="H611" s="40"/>
      <c r="I611" s="40"/>
      <c r="J611" s="40"/>
      <c r="K611" s="40"/>
      <c r="L611" s="40"/>
    </row>
    <row r="612" spans="1:12" ht="15.75" customHeight="1" x14ac:dyDescent="0.25">
      <c r="A612" s="40"/>
      <c r="B612" s="40"/>
      <c r="C612" s="40"/>
      <c r="D612" s="40"/>
      <c r="E612" s="41"/>
      <c r="F612" s="41"/>
      <c r="G612" s="40"/>
      <c r="H612" s="40"/>
      <c r="I612" s="40"/>
      <c r="J612" s="40"/>
      <c r="K612" s="40"/>
      <c r="L612" s="40"/>
    </row>
    <row r="613" spans="1:12" ht="15.75" customHeight="1" x14ac:dyDescent="0.25">
      <c r="A613" s="40"/>
      <c r="B613" s="40"/>
      <c r="C613" s="40"/>
      <c r="D613" s="40"/>
      <c r="E613" s="41"/>
      <c r="F613" s="41"/>
      <c r="G613" s="40"/>
      <c r="H613" s="40"/>
      <c r="I613" s="40"/>
      <c r="J613" s="40"/>
      <c r="K613" s="40"/>
      <c r="L613" s="40"/>
    </row>
    <row r="614" spans="1:12" ht="15.75" customHeight="1" x14ac:dyDescent="0.25">
      <c r="A614" s="40"/>
      <c r="B614" s="40"/>
      <c r="C614" s="40"/>
      <c r="D614" s="40"/>
      <c r="E614" s="41"/>
      <c r="F614" s="41"/>
      <c r="G614" s="40"/>
      <c r="H614" s="40"/>
      <c r="I614" s="40"/>
      <c r="J614" s="40"/>
      <c r="K614" s="40"/>
      <c r="L614" s="40"/>
    </row>
    <row r="615" spans="1:12" ht="15.75" customHeight="1" x14ac:dyDescent="0.25">
      <c r="A615" s="40"/>
      <c r="B615" s="40"/>
      <c r="C615" s="40"/>
      <c r="D615" s="40"/>
      <c r="E615" s="41"/>
      <c r="F615" s="41"/>
      <c r="G615" s="40"/>
      <c r="H615" s="40"/>
      <c r="I615" s="40"/>
      <c r="J615" s="40"/>
      <c r="K615" s="40"/>
      <c r="L615" s="40"/>
    </row>
    <row r="616" spans="1:12" ht="15.75" customHeight="1" x14ac:dyDescent="0.25">
      <c r="A616" s="40"/>
      <c r="B616" s="40"/>
      <c r="C616" s="40"/>
      <c r="D616" s="40"/>
      <c r="E616" s="41"/>
      <c r="F616" s="41"/>
      <c r="G616" s="40"/>
      <c r="H616" s="40"/>
      <c r="I616" s="40"/>
      <c r="J616" s="40"/>
      <c r="K616" s="40"/>
      <c r="L616" s="40"/>
    </row>
    <row r="617" spans="1:12" ht="15.75" customHeight="1" x14ac:dyDescent="0.25">
      <c r="A617" s="40"/>
      <c r="B617" s="40"/>
      <c r="C617" s="40"/>
      <c r="D617" s="40"/>
      <c r="E617" s="41"/>
      <c r="F617" s="41"/>
      <c r="G617" s="40"/>
      <c r="H617" s="40"/>
      <c r="I617" s="40"/>
      <c r="J617" s="40"/>
      <c r="K617" s="40"/>
      <c r="L617" s="40"/>
    </row>
    <row r="618" spans="1:12" ht="15.75" customHeight="1" x14ac:dyDescent="0.25">
      <c r="A618" s="40"/>
      <c r="B618" s="40"/>
      <c r="C618" s="40"/>
      <c r="D618" s="40"/>
      <c r="E618" s="41"/>
      <c r="F618" s="41"/>
      <c r="G618" s="40"/>
      <c r="H618" s="40"/>
      <c r="I618" s="40"/>
      <c r="J618" s="40"/>
      <c r="K618" s="40"/>
      <c r="L618" s="40"/>
    </row>
    <row r="619" spans="1:12" ht="15.75" customHeight="1" x14ac:dyDescent="0.25">
      <c r="A619" s="40"/>
      <c r="B619" s="40"/>
      <c r="C619" s="40"/>
      <c r="D619" s="40"/>
      <c r="E619" s="41"/>
      <c r="F619" s="41"/>
      <c r="G619" s="40"/>
      <c r="H619" s="40"/>
      <c r="I619" s="40"/>
      <c r="J619" s="40"/>
      <c r="K619" s="40"/>
      <c r="L619" s="40"/>
    </row>
    <row r="620" spans="1:12" ht="15.75" customHeight="1" x14ac:dyDescent="0.25">
      <c r="A620" s="40"/>
      <c r="B620" s="40"/>
      <c r="C620" s="40"/>
      <c r="D620" s="40"/>
      <c r="E620" s="41"/>
      <c r="F620" s="41"/>
      <c r="G620" s="40"/>
      <c r="H620" s="40"/>
      <c r="I620" s="40"/>
      <c r="J620" s="40"/>
      <c r="K620" s="40"/>
      <c r="L620" s="40"/>
    </row>
    <row r="621" spans="1:12" ht="15.75" customHeight="1" x14ac:dyDescent="0.25">
      <c r="A621" s="40"/>
      <c r="B621" s="40"/>
      <c r="C621" s="40"/>
      <c r="D621" s="40"/>
      <c r="E621" s="41"/>
      <c r="F621" s="41"/>
      <c r="G621" s="40"/>
      <c r="H621" s="40"/>
      <c r="I621" s="40"/>
      <c r="J621" s="40"/>
      <c r="K621" s="40"/>
      <c r="L621" s="40"/>
    </row>
    <row r="622" spans="1:12" ht="15.75" customHeight="1" x14ac:dyDescent="0.25">
      <c r="A622" s="40"/>
      <c r="B622" s="40"/>
      <c r="C622" s="40"/>
      <c r="D622" s="40"/>
      <c r="E622" s="41"/>
      <c r="F622" s="41"/>
      <c r="G622" s="40"/>
      <c r="H622" s="40"/>
      <c r="I622" s="40"/>
      <c r="J622" s="40"/>
      <c r="K622" s="40"/>
      <c r="L622" s="40"/>
    </row>
    <row r="623" spans="1:12" ht="15.75" customHeight="1" x14ac:dyDescent="0.25">
      <c r="A623" s="40"/>
      <c r="B623" s="40"/>
      <c r="C623" s="40"/>
      <c r="D623" s="40"/>
      <c r="E623" s="41"/>
      <c r="F623" s="41"/>
      <c r="G623" s="40"/>
      <c r="H623" s="40"/>
      <c r="I623" s="40"/>
      <c r="J623" s="40"/>
      <c r="K623" s="40"/>
      <c r="L623" s="40"/>
    </row>
    <row r="624" spans="1:12" ht="15.75" customHeight="1" x14ac:dyDescent="0.25">
      <c r="A624" s="40"/>
      <c r="B624" s="40"/>
      <c r="C624" s="40"/>
      <c r="D624" s="40"/>
      <c r="E624" s="41"/>
      <c r="F624" s="41"/>
      <c r="G624" s="40"/>
      <c r="H624" s="40"/>
      <c r="I624" s="40"/>
      <c r="J624" s="40"/>
      <c r="K624" s="40"/>
      <c r="L624" s="40"/>
    </row>
    <row r="625" spans="1:12" ht="15.75" customHeight="1" x14ac:dyDescent="0.25">
      <c r="A625" s="40"/>
      <c r="B625" s="40"/>
      <c r="C625" s="40"/>
      <c r="D625" s="40"/>
      <c r="E625" s="41"/>
      <c r="F625" s="41"/>
      <c r="G625" s="40"/>
      <c r="H625" s="40"/>
      <c r="I625" s="40"/>
      <c r="J625" s="40"/>
      <c r="K625" s="40"/>
      <c r="L625" s="40"/>
    </row>
    <row r="626" spans="1:12" ht="15.75" customHeight="1" x14ac:dyDescent="0.25">
      <c r="A626" s="40"/>
      <c r="B626" s="40"/>
      <c r="C626" s="40"/>
      <c r="D626" s="40"/>
      <c r="E626" s="41"/>
      <c r="F626" s="41"/>
      <c r="G626" s="40"/>
      <c r="H626" s="40"/>
      <c r="I626" s="40"/>
      <c r="J626" s="40"/>
      <c r="K626" s="40"/>
      <c r="L626" s="40"/>
    </row>
    <row r="627" spans="1:12" ht="15.75" customHeight="1" x14ac:dyDescent="0.25">
      <c r="A627" s="40"/>
      <c r="B627" s="40"/>
      <c r="C627" s="40"/>
      <c r="D627" s="40"/>
      <c r="E627" s="41"/>
      <c r="F627" s="41"/>
      <c r="G627" s="40"/>
      <c r="H627" s="40"/>
      <c r="I627" s="40"/>
      <c r="J627" s="40"/>
      <c r="K627" s="40"/>
      <c r="L627" s="40"/>
    </row>
    <row r="628" spans="1:12" ht="15.75" customHeight="1" x14ac:dyDescent="0.25">
      <c r="A628" s="40"/>
      <c r="B628" s="40"/>
      <c r="C628" s="40"/>
      <c r="D628" s="40"/>
      <c r="E628" s="41"/>
      <c r="F628" s="41"/>
      <c r="G628" s="40"/>
      <c r="H628" s="40"/>
      <c r="I628" s="40"/>
      <c r="J628" s="40"/>
      <c r="K628" s="40"/>
      <c r="L628" s="40"/>
    </row>
    <row r="629" spans="1:12" ht="15.75" customHeight="1" x14ac:dyDescent="0.25">
      <c r="A629" s="40"/>
      <c r="B629" s="40"/>
      <c r="C629" s="40"/>
      <c r="D629" s="40"/>
      <c r="E629" s="41"/>
      <c r="F629" s="41"/>
      <c r="G629" s="40"/>
      <c r="H629" s="40"/>
      <c r="I629" s="40"/>
      <c r="J629" s="40"/>
      <c r="K629" s="40"/>
      <c r="L629" s="40"/>
    </row>
    <row r="630" spans="1:12" ht="15.75" customHeight="1" x14ac:dyDescent="0.25">
      <c r="A630" s="40"/>
      <c r="B630" s="40"/>
      <c r="C630" s="40"/>
      <c r="D630" s="40"/>
      <c r="E630" s="41"/>
      <c r="F630" s="41"/>
      <c r="G630" s="40"/>
      <c r="H630" s="40"/>
      <c r="I630" s="40"/>
      <c r="J630" s="40"/>
      <c r="K630" s="40"/>
      <c r="L630" s="40"/>
    </row>
    <row r="631" spans="1:12" ht="15.75" customHeight="1" x14ac:dyDescent="0.25">
      <c r="A631" s="40"/>
      <c r="B631" s="40"/>
      <c r="C631" s="40"/>
      <c r="D631" s="40"/>
      <c r="E631" s="41"/>
      <c r="F631" s="41"/>
      <c r="G631" s="40"/>
      <c r="H631" s="40"/>
      <c r="I631" s="40"/>
      <c r="J631" s="40"/>
      <c r="K631" s="40"/>
      <c r="L631" s="40"/>
    </row>
    <row r="632" spans="1:12" ht="15.75" customHeight="1" x14ac:dyDescent="0.25">
      <c r="A632" s="40"/>
      <c r="B632" s="40"/>
      <c r="C632" s="40"/>
      <c r="D632" s="40"/>
      <c r="E632" s="41"/>
      <c r="F632" s="41"/>
      <c r="G632" s="40"/>
      <c r="H632" s="40"/>
      <c r="I632" s="40"/>
      <c r="J632" s="40"/>
      <c r="K632" s="40"/>
      <c r="L632" s="40"/>
    </row>
    <row r="633" spans="1:12" ht="15.75" customHeight="1" x14ac:dyDescent="0.25">
      <c r="A633" s="40"/>
      <c r="B633" s="40"/>
      <c r="C633" s="40"/>
      <c r="D633" s="40"/>
      <c r="E633" s="41"/>
      <c r="F633" s="41"/>
      <c r="G633" s="40"/>
      <c r="H633" s="40"/>
      <c r="I633" s="40"/>
      <c r="J633" s="40"/>
      <c r="K633" s="40"/>
      <c r="L633" s="40"/>
    </row>
    <row r="634" spans="1:12" ht="15.75" customHeight="1" x14ac:dyDescent="0.25">
      <c r="A634" s="40"/>
      <c r="B634" s="40"/>
      <c r="C634" s="40"/>
      <c r="D634" s="40"/>
      <c r="E634" s="41"/>
      <c r="F634" s="41"/>
      <c r="G634" s="40"/>
      <c r="H634" s="40"/>
      <c r="I634" s="40"/>
      <c r="J634" s="40"/>
      <c r="K634" s="40"/>
      <c r="L634" s="40"/>
    </row>
    <row r="635" spans="1:12" ht="15.75" customHeight="1" x14ac:dyDescent="0.25">
      <c r="A635" s="40"/>
      <c r="B635" s="40"/>
      <c r="C635" s="40"/>
      <c r="D635" s="40"/>
      <c r="E635" s="41"/>
      <c r="F635" s="41"/>
      <c r="G635" s="40"/>
      <c r="H635" s="40"/>
      <c r="I635" s="40"/>
      <c r="J635" s="40"/>
      <c r="K635" s="40"/>
      <c r="L635" s="40"/>
    </row>
    <row r="636" spans="1:12" ht="15.75" customHeight="1" x14ac:dyDescent="0.25">
      <c r="A636" s="40"/>
      <c r="B636" s="40"/>
      <c r="C636" s="40"/>
      <c r="D636" s="40"/>
      <c r="E636" s="41"/>
      <c r="F636" s="41"/>
      <c r="G636" s="40"/>
      <c r="H636" s="40"/>
      <c r="I636" s="40"/>
      <c r="J636" s="40"/>
      <c r="K636" s="40"/>
      <c r="L636" s="40"/>
    </row>
    <row r="637" spans="1:12" ht="15.75" customHeight="1" x14ac:dyDescent="0.25">
      <c r="A637" s="40"/>
      <c r="B637" s="40"/>
      <c r="C637" s="40"/>
      <c r="D637" s="40"/>
      <c r="E637" s="41"/>
      <c r="F637" s="41"/>
      <c r="G637" s="40"/>
      <c r="H637" s="40"/>
      <c r="I637" s="40"/>
      <c r="J637" s="40"/>
      <c r="K637" s="40"/>
      <c r="L637" s="40"/>
    </row>
    <row r="638" spans="1:12" ht="15.75" customHeight="1" x14ac:dyDescent="0.25">
      <c r="A638" s="40"/>
      <c r="B638" s="40"/>
      <c r="C638" s="40"/>
      <c r="D638" s="40"/>
      <c r="E638" s="41"/>
      <c r="F638" s="41"/>
      <c r="G638" s="40"/>
      <c r="H638" s="40"/>
      <c r="I638" s="40"/>
      <c r="J638" s="40"/>
      <c r="K638" s="40"/>
      <c r="L638" s="40"/>
    </row>
    <row r="639" spans="1:12" ht="15.75" customHeight="1" x14ac:dyDescent="0.25">
      <c r="A639" s="40"/>
      <c r="B639" s="40"/>
      <c r="C639" s="40"/>
      <c r="D639" s="40"/>
      <c r="E639" s="41"/>
      <c r="F639" s="41"/>
      <c r="G639" s="40"/>
      <c r="H639" s="40"/>
      <c r="I639" s="40"/>
      <c r="J639" s="40"/>
      <c r="K639" s="40"/>
      <c r="L639" s="40"/>
    </row>
    <row r="640" spans="1:12" ht="15.75" customHeight="1" x14ac:dyDescent="0.25">
      <c r="A640" s="40"/>
      <c r="B640" s="40"/>
      <c r="C640" s="40"/>
      <c r="D640" s="40"/>
      <c r="E640" s="41"/>
      <c r="F640" s="41"/>
      <c r="G640" s="40"/>
      <c r="H640" s="40"/>
      <c r="I640" s="40"/>
      <c r="J640" s="40"/>
      <c r="K640" s="40"/>
      <c r="L640" s="40"/>
    </row>
    <row r="641" spans="1:12" ht="15.75" customHeight="1" x14ac:dyDescent="0.25">
      <c r="A641" s="40"/>
      <c r="B641" s="40"/>
      <c r="C641" s="40"/>
      <c r="D641" s="40"/>
      <c r="E641" s="41"/>
      <c r="F641" s="41"/>
      <c r="G641" s="40"/>
      <c r="H641" s="40"/>
      <c r="I641" s="40"/>
      <c r="J641" s="40"/>
      <c r="K641" s="40"/>
      <c r="L641" s="40"/>
    </row>
    <row r="642" spans="1:12" ht="15.75" customHeight="1" x14ac:dyDescent="0.25">
      <c r="A642" s="40"/>
      <c r="B642" s="40"/>
      <c r="C642" s="40"/>
      <c r="D642" s="40"/>
      <c r="E642" s="41"/>
      <c r="F642" s="41"/>
      <c r="G642" s="40"/>
      <c r="H642" s="40"/>
      <c r="I642" s="40"/>
      <c r="J642" s="40"/>
      <c r="K642" s="40"/>
      <c r="L642" s="40"/>
    </row>
    <row r="643" spans="1:12" ht="15.75" customHeight="1" x14ac:dyDescent="0.25">
      <c r="A643" s="40"/>
      <c r="B643" s="40"/>
      <c r="C643" s="40"/>
      <c r="D643" s="40"/>
      <c r="E643" s="41"/>
      <c r="F643" s="41"/>
      <c r="G643" s="40"/>
      <c r="H643" s="40"/>
      <c r="I643" s="40"/>
      <c r="J643" s="40"/>
      <c r="K643" s="40"/>
      <c r="L643" s="40"/>
    </row>
    <row r="644" spans="1:12" ht="15.75" customHeight="1" x14ac:dyDescent="0.25">
      <c r="A644" s="40"/>
      <c r="B644" s="40"/>
      <c r="C644" s="40"/>
      <c r="D644" s="40"/>
      <c r="E644" s="41"/>
      <c r="F644" s="41"/>
      <c r="G644" s="40"/>
      <c r="H644" s="40"/>
      <c r="I644" s="40"/>
      <c r="J644" s="40"/>
      <c r="K644" s="40"/>
      <c r="L644" s="40"/>
    </row>
    <row r="645" spans="1:12" ht="15.75" customHeight="1" x14ac:dyDescent="0.25">
      <c r="A645" s="40"/>
      <c r="B645" s="40"/>
      <c r="C645" s="40"/>
      <c r="D645" s="40"/>
      <c r="E645" s="41"/>
      <c r="F645" s="41"/>
      <c r="G645" s="40"/>
      <c r="H645" s="40"/>
      <c r="I645" s="40"/>
      <c r="J645" s="40"/>
      <c r="K645" s="40"/>
      <c r="L645" s="40"/>
    </row>
    <row r="646" spans="1:12" ht="15.75" customHeight="1" x14ac:dyDescent="0.25">
      <c r="A646" s="40"/>
      <c r="B646" s="40"/>
      <c r="C646" s="40"/>
      <c r="D646" s="40"/>
      <c r="E646" s="41"/>
      <c r="F646" s="41"/>
      <c r="G646" s="40"/>
      <c r="H646" s="40"/>
      <c r="I646" s="40"/>
      <c r="J646" s="40"/>
      <c r="K646" s="40"/>
      <c r="L646" s="40"/>
    </row>
    <row r="647" spans="1:12" ht="15.75" customHeight="1" x14ac:dyDescent="0.25">
      <c r="A647" s="40"/>
      <c r="B647" s="40"/>
      <c r="C647" s="40"/>
      <c r="D647" s="40"/>
      <c r="E647" s="41"/>
      <c r="F647" s="41"/>
      <c r="G647" s="40"/>
      <c r="H647" s="40"/>
      <c r="I647" s="40"/>
      <c r="J647" s="40"/>
      <c r="K647" s="40"/>
      <c r="L647" s="40"/>
    </row>
    <row r="648" spans="1:12" ht="15.75" customHeight="1" x14ac:dyDescent="0.25">
      <c r="A648" s="40"/>
      <c r="B648" s="40"/>
      <c r="C648" s="40"/>
      <c r="D648" s="40"/>
      <c r="E648" s="41"/>
      <c r="F648" s="41"/>
      <c r="G648" s="40"/>
      <c r="H648" s="40"/>
      <c r="I648" s="40"/>
      <c r="J648" s="40"/>
      <c r="K648" s="40"/>
      <c r="L648" s="40"/>
    </row>
    <row r="649" spans="1:12" ht="15.75" customHeight="1" x14ac:dyDescent="0.25">
      <c r="A649" s="40"/>
      <c r="B649" s="40"/>
      <c r="C649" s="40"/>
      <c r="D649" s="40"/>
      <c r="E649" s="41"/>
      <c r="F649" s="41"/>
      <c r="G649" s="40"/>
      <c r="H649" s="40"/>
      <c r="I649" s="40"/>
      <c r="J649" s="40"/>
      <c r="K649" s="40"/>
      <c r="L649" s="40"/>
    </row>
    <row r="650" spans="1:12" ht="15.75" customHeight="1" x14ac:dyDescent="0.25">
      <c r="A650" s="40"/>
      <c r="B650" s="40"/>
      <c r="C650" s="40"/>
      <c r="D650" s="40"/>
      <c r="E650" s="41"/>
      <c r="F650" s="41"/>
      <c r="G650" s="40"/>
      <c r="H650" s="40"/>
      <c r="I650" s="40"/>
      <c r="J650" s="40"/>
      <c r="K650" s="40"/>
      <c r="L650" s="40"/>
    </row>
    <row r="651" spans="1:12" ht="15.75" customHeight="1" x14ac:dyDescent="0.25">
      <c r="A651" s="40"/>
      <c r="B651" s="40"/>
      <c r="C651" s="40"/>
      <c r="D651" s="40"/>
      <c r="E651" s="41"/>
      <c r="F651" s="41"/>
      <c r="G651" s="40"/>
      <c r="H651" s="40"/>
      <c r="I651" s="40"/>
      <c r="J651" s="40"/>
      <c r="K651" s="40"/>
      <c r="L651" s="40"/>
    </row>
    <row r="652" spans="1:12" ht="15.75" customHeight="1" x14ac:dyDescent="0.25">
      <c r="A652" s="40"/>
      <c r="B652" s="40"/>
      <c r="C652" s="40"/>
      <c r="D652" s="40"/>
      <c r="E652" s="41"/>
      <c r="F652" s="41"/>
      <c r="G652" s="40"/>
      <c r="H652" s="40"/>
      <c r="I652" s="40"/>
      <c r="J652" s="40"/>
      <c r="K652" s="40"/>
      <c r="L652" s="40"/>
    </row>
    <row r="653" spans="1:12" ht="15.75" customHeight="1" x14ac:dyDescent="0.25">
      <c r="A653" s="40"/>
      <c r="B653" s="40"/>
      <c r="C653" s="40"/>
      <c r="D653" s="40"/>
      <c r="E653" s="41"/>
      <c r="F653" s="41"/>
      <c r="G653" s="40"/>
      <c r="H653" s="40"/>
      <c r="I653" s="40"/>
      <c r="J653" s="40"/>
      <c r="K653" s="40"/>
      <c r="L653" s="40"/>
    </row>
    <row r="654" spans="1:12" ht="15.75" customHeight="1" x14ac:dyDescent="0.25">
      <c r="A654" s="40"/>
      <c r="B654" s="40"/>
      <c r="C654" s="40"/>
      <c r="D654" s="40"/>
      <c r="E654" s="41"/>
      <c r="F654" s="41"/>
      <c r="G654" s="40"/>
      <c r="H654" s="40"/>
      <c r="I654" s="40"/>
      <c r="J654" s="40"/>
      <c r="K654" s="40"/>
      <c r="L654" s="40"/>
    </row>
    <row r="655" spans="1:12" ht="15.75" customHeight="1" x14ac:dyDescent="0.25">
      <c r="A655" s="40"/>
      <c r="B655" s="40"/>
      <c r="C655" s="40"/>
      <c r="D655" s="40"/>
      <c r="E655" s="41"/>
      <c r="F655" s="41"/>
      <c r="G655" s="40"/>
      <c r="H655" s="40"/>
      <c r="I655" s="40"/>
      <c r="J655" s="40"/>
      <c r="K655" s="40"/>
      <c r="L655" s="40"/>
    </row>
    <row r="656" spans="1:12" ht="15.75" customHeight="1" x14ac:dyDescent="0.25">
      <c r="A656" s="40"/>
      <c r="B656" s="40"/>
      <c r="C656" s="40"/>
      <c r="D656" s="40"/>
      <c r="E656" s="41"/>
      <c r="F656" s="41"/>
      <c r="G656" s="40"/>
      <c r="H656" s="40"/>
      <c r="I656" s="40"/>
      <c r="J656" s="40"/>
      <c r="K656" s="40"/>
      <c r="L656" s="40"/>
    </row>
    <row r="657" spans="1:12" ht="15.75" customHeight="1" x14ac:dyDescent="0.25">
      <c r="A657" s="40"/>
      <c r="B657" s="40"/>
      <c r="C657" s="40"/>
      <c r="D657" s="40"/>
      <c r="E657" s="41"/>
      <c r="F657" s="41"/>
      <c r="G657" s="40"/>
      <c r="H657" s="40"/>
      <c r="I657" s="40"/>
      <c r="J657" s="40"/>
      <c r="K657" s="40"/>
      <c r="L657" s="40"/>
    </row>
    <row r="658" spans="1:12" ht="15.75" customHeight="1" x14ac:dyDescent="0.25">
      <c r="A658" s="40"/>
      <c r="B658" s="40"/>
      <c r="C658" s="40"/>
      <c r="D658" s="40"/>
      <c r="E658" s="41"/>
      <c r="F658" s="41"/>
      <c r="G658" s="40"/>
      <c r="H658" s="40"/>
      <c r="I658" s="40"/>
      <c r="J658" s="40"/>
      <c r="K658" s="40"/>
      <c r="L658" s="40"/>
    </row>
    <row r="659" spans="1:12" ht="15.75" customHeight="1" x14ac:dyDescent="0.25">
      <c r="A659" s="40"/>
      <c r="B659" s="40"/>
      <c r="C659" s="40"/>
      <c r="D659" s="40"/>
      <c r="E659" s="41"/>
      <c r="F659" s="41"/>
      <c r="G659" s="40"/>
      <c r="H659" s="40"/>
      <c r="I659" s="40"/>
      <c r="J659" s="40"/>
      <c r="K659" s="40"/>
      <c r="L659" s="40"/>
    </row>
    <row r="660" spans="1:12" ht="15.75" customHeight="1" x14ac:dyDescent="0.25">
      <c r="A660" s="40"/>
      <c r="B660" s="40"/>
      <c r="C660" s="40"/>
      <c r="D660" s="40"/>
      <c r="E660" s="41"/>
      <c r="F660" s="41"/>
      <c r="G660" s="40"/>
      <c r="H660" s="40"/>
      <c r="I660" s="40"/>
      <c r="J660" s="40"/>
      <c r="K660" s="40"/>
      <c r="L660" s="40"/>
    </row>
    <row r="661" spans="1:12" ht="15.75" customHeight="1" x14ac:dyDescent="0.25">
      <c r="A661" s="40"/>
      <c r="B661" s="40"/>
      <c r="C661" s="40"/>
      <c r="D661" s="40"/>
      <c r="E661" s="41"/>
      <c r="F661" s="41"/>
      <c r="G661" s="40"/>
      <c r="H661" s="40"/>
      <c r="I661" s="40"/>
      <c r="J661" s="40"/>
      <c r="K661" s="40"/>
      <c r="L661" s="40"/>
    </row>
    <row r="662" spans="1:12" ht="15.75" customHeight="1" x14ac:dyDescent="0.25">
      <c r="A662" s="40"/>
      <c r="B662" s="40"/>
      <c r="C662" s="40"/>
      <c r="D662" s="40"/>
      <c r="E662" s="41"/>
      <c r="F662" s="41"/>
      <c r="G662" s="40"/>
      <c r="H662" s="40"/>
      <c r="I662" s="40"/>
      <c r="J662" s="40"/>
      <c r="K662" s="40"/>
      <c r="L662" s="40"/>
    </row>
    <row r="663" spans="1:12" ht="15.75" customHeight="1" x14ac:dyDescent="0.25">
      <c r="A663" s="40"/>
      <c r="B663" s="40"/>
      <c r="C663" s="40"/>
      <c r="D663" s="40"/>
      <c r="E663" s="41"/>
      <c r="F663" s="41"/>
      <c r="G663" s="40"/>
      <c r="H663" s="40"/>
      <c r="I663" s="40"/>
      <c r="J663" s="40"/>
      <c r="K663" s="40"/>
      <c r="L663" s="40"/>
    </row>
    <row r="664" spans="1:12" ht="15.75" customHeight="1" x14ac:dyDescent="0.25">
      <c r="A664" s="40"/>
      <c r="B664" s="40"/>
      <c r="C664" s="40"/>
      <c r="D664" s="40"/>
      <c r="E664" s="41"/>
      <c r="F664" s="41"/>
      <c r="G664" s="40"/>
      <c r="H664" s="40"/>
      <c r="I664" s="40"/>
      <c r="J664" s="40"/>
      <c r="K664" s="40"/>
      <c r="L664" s="40"/>
    </row>
    <row r="665" spans="1:12" ht="15.75" customHeight="1" x14ac:dyDescent="0.25">
      <c r="A665" s="40"/>
      <c r="B665" s="40"/>
      <c r="C665" s="40"/>
      <c r="D665" s="40"/>
      <c r="E665" s="41"/>
      <c r="F665" s="41"/>
      <c r="G665" s="40"/>
      <c r="H665" s="40"/>
      <c r="I665" s="40"/>
      <c r="J665" s="40"/>
      <c r="K665" s="40"/>
      <c r="L665" s="40"/>
    </row>
    <row r="666" spans="1:12" ht="15.75" customHeight="1" x14ac:dyDescent="0.25">
      <c r="A666" s="40"/>
      <c r="B666" s="40"/>
      <c r="C666" s="40"/>
      <c r="D666" s="40"/>
      <c r="E666" s="41"/>
      <c r="F666" s="41"/>
      <c r="G666" s="40"/>
      <c r="H666" s="40"/>
      <c r="I666" s="40"/>
      <c r="J666" s="40"/>
      <c r="K666" s="40"/>
      <c r="L666" s="40"/>
    </row>
    <row r="667" spans="1:12" ht="15.75" customHeight="1" x14ac:dyDescent="0.25">
      <c r="A667" s="40"/>
      <c r="B667" s="40"/>
      <c r="C667" s="40"/>
      <c r="D667" s="40"/>
      <c r="E667" s="41"/>
      <c r="F667" s="41"/>
      <c r="G667" s="40"/>
      <c r="H667" s="40"/>
      <c r="I667" s="40"/>
      <c r="J667" s="40"/>
      <c r="K667" s="40"/>
      <c r="L667" s="40"/>
    </row>
    <row r="668" spans="1:12" ht="15.75" customHeight="1" x14ac:dyDescent="0.25">
      <c r="A668" s="40"/>
      <c r="B668" s="40"/>
      <c r="C668" s="40"/>
      <c r="D668" s="40"/>
      <c r="E668" s="41"/>
      <c r="F668" s="41"/>
      <c r="G668" s="40"/>
      <c r="H668" s="40"/>
      <c r="I668" s="40"/>
      <c r="J668" s="40"/>
      <c r="K668" s="40"/>
      <c r="L668" s="40"/>
    </row>
    <row r="669" spans="1:12" ht="15.75" customHeight="1" x14ac:dyDescent="0.25">
      <c r="A669" s="40"/>
      <c r="B669" s="40"/>
      <c r="C669" s="40"/>
      <c r="D669" s="40"/>
      <c r="E669" s="41"/>
      <c r="F669" s="41"/>
      <c r="G669" s="40"/>
      <c r="H669" s="40"/>
      <c r="I669" s="40"/>
      <c r="J669" s="40"/>
      <c r="K669" s="40"/>
      <c r="L669" s="40"/>
    </row>
    <row r="670" spans="1:12" ht="15.75" customHeight="1" x14ac:dyDescent="0.25">
      <c r="A670" s="40"/>
      <c r="B670" s="40"/>
      <c r="C670" s="40"/>
      <c r="D670" s="40"/>
      <c r="E670" s="41"/>
      <c r="F670" s="41"/>
      <c r="G670" s="40"/>
      <c r="H670" s="40"/>
      <c r="I670" s="40"/>
      <c r="J670" s="40"/>
      <c r="K670" s="40"/>
      <c r="L670" s="40"/>
    </row>
    <row r="671" spans="1:12" ht="15.75" customHeight="1" x14ac:dyDescent="0.25">
      <c r="A671" s="40"/>
      <c r="B671" s="40"/>
      <c r="C671" s="40"/>
      <c r="D671" s="40"/>
      <c r="E671" s="41"/>
      <c r="F671" s="41"/>
      <c r="G671" s="40"/>
      <c r="H671" s="40"/>
      <c r="I671" s="40"/>
      <c r="J671" s="40"/>
      <c r="K671" s="40"/>
      <c r="L671" s="40"/>
    </row>
    <row r="672" spans="1:12" ht="15.75" customHeight="1" x14ac:dyDescent="0.25">
      <c r="A672" s="40"/>
      <c r="B672" s="40"/>
      <c r="C672" s="40"/>
      <c r="D672" s="40"/>
      <c r="E672" s="41"/>
      <c r="F672" s="41"/>
      <c r="G672" s="40"/>
      <c r="H672" s="40"/>
      <c r="I672" s="40"/>
      <c r="J672" s="40"/>
      <c r="K672" s="40"/>
      <c r="L672" s="40"/>
    </row>
    <row r="673" spans="1:12" ht="15.75" customHeight="1" x14ac:dyDescent="0.25">
      <c r="A673" s="40"/>
      <c r="B673" s="40"/>
      <c r="C673" s="40"/>
      <c r="D673" s="40"/>
      <c r="E673" s="41"/>
      <c r="F673" s="41"/>
      <c r="G673" s="40"/>
      <c r="H673" s="40"/>
      <c r="I673" s="40"/>
      <c r="J673" s="40"/>
      <c r="K673" s="40"/>
      <c r="L673" s="40"/>
    </row>
    <row r="674" spans="1:12" ht="15.75" customHeight="1" x14ac:dyDescent="0.25">
      <c r="A674" s="40"/>
      <c r="B674" s="40"/>
      <c r="C674" s="40"/>
      <c r="D674" s="40"/>
      <c r="E674" s="41"/>
      <c r="F674" s="41"/>
      <c r="G674" s="40"/>
      <c r="H674" s="40"/>
      <c r="I674" s="40"/>
      <c r="J674" s="40"/>
      <c r="K674" s="40"/>
      <c r="L674" s="40"/>
    </row>
    <row r="675" spans="1:12" ht="15.75" customHeight="1" x14ac:dyDescent="0.25">
      <c r="A675" s="40"/>
      <c r="B675" s="40"/>
      <c r="C675" s="40"/>
      <c r="D675" s="40"/>
      <c r="E675" s="41"/>
      <c r="F675" s="41"/>
      <c r="G675" s="40"/>
      <c r="H675" s="40"/>
      <c r="I675" s="40"/>
      <c r="J675" s="40"/>
      <c r="K675" s="40"/>
      <c r="L675" s="40"/>
    </row>
    <row r="676" spans="1:12" ht="15.75" customHeight="1" x14ac:dyDescent="0.25">
      <c r="A676" s="40"/>
      <c r="B676" s="40"/>
      <c r="C676" s="40"/>
      <c r="D676" s="40"/>
      <c r="E676" s="41"/>
      <c r="F676" s="41"/>
      <c r="G676" s="40"/>
      <c r="H676" s="40"/>
      <c r="I676" s="40"/>
      <c r="J676" s="40"/>
      <c r="K676" s="40"/>
      <c r="L676" s="40"/>
    </row>
    <row r="677" spans="1:12" ht="15.75" customHeight="1" x14ac:dyDescent="0.25">
      <c r="A677" s="40"/>
      <c r="B677" s="40"/>
      <c r="C677" s="40"/>
      <c r="D677" s="40"/>
      <c r="E677" s="41"/>
      <c r="F677" s="41"/>
      <c r="G677" s="40"/>
      <c r="H677" s="40"/>
      <c r="I677" s="40"/>
      <c r="J677" s="40"/>
      <c r="K677" s="40"/>
      <c r="L677" s="40"/>
    </row>
    <row r="678" spans="1:12" ht="15.75" customHeight="1" x14ac:dyDescent="0.25">
      <c r="A678" s="40"/>
      <c r="B678" s="40"/>
      <c r="C678" s="40"/>
      <c r="D678" s="40"/>
      <c r="E678" s="41"/>
      <c r="F678" s="41"/>
      <c r="G678" s="40"/>
      <c r="H678" s="40"/>
      <c r="I678" s="40"/>
      <c r="J678" s="40"/>
      <c r="K678" s="40"/>
      <c r="L678" s="40"/>
    </row>
    <row r="679" spans="1:12" ht="15.75" customHeight="1" x14ac:dyDescent="0.25">
      <c r="A679" s="40"/>
      <c r="B679" s="40"/>
      <c r="C679" s="40"/>
      <c r="D679" s="40"/>
      <c r="E679" s="41"/>
      <c r="F679" s="41"/>
      <c r="G679" s="40"/>
      <c r="H679" s="40"/>
      <c r="I679" s="40"/>
      <c r="J679" s="40"/>
      <c r="K679" s="40"/>
      <c r="L679" s="40"/>
    </row>
    <row r="680" spans="1:12" ht="15.75" customHeight="1" x14ac:dyDescent="0.25">
      <c r="A680" s="40"/>
      <c r="B680" s="40"/>
      <c r="C680" s="40"/>
      <c r="D680" s="40"/>
      <c r="E680" s="41"/>
      <c r="F680" s="41"/>
      <c r="G680" s="40"/>
      <c r="H680" s="40"/>
      <c r="I680" s="40"/>
      <c r="J680" s="40"/>
      <c r="K680" s="40"/>
      <c r="L680" s="40"/>
    </row>
    <row r="681" spans="1:12" ht="15.75" customHeight="1" x14ac:dyDescent="0.25">
      <c r="A681" s="40"/>
      <c r="B681" s="40"/>
      <c r="C681" s="40"/>
      <c r="D681" s="40"/>
      <c r="E681" s="41"/>
      <c r="F681" s="41"/>
      <c r="G681" s="40"/>
      <c r="H681" s="40"/>
      <c r="I681" s="40"/>
      <c r="J681" s="40"/>
      <c r="K681" s="40"/>
      <c r="L681" s="40"/>
    </row>
    <row r="682" spans="1:12" ht="15.75" customHeight="1" x14ac:dyDescent="0.25">
      <c r="A682" s="40"/>
      <c r="B682" s="40"/>
      <c r="C682" s="40"/>
      <c r="D682" s="40"/>
      <c r="E682" s="41"/>
      <c r="F682" s="41"/>
      <c r="G682" s="40"/>
      <c r="H682" s="40"/>
      <c r="I682" s="40"/>
      <c r="J682" s="40"/>
      <c r="K682" s="40"/>
      <c r="L682" s="40"/>
    </row>
    <row r="683" spans="1:12" ht="15.75" customHeight="1" x14ac:dyDescent="0.25">
      <c r="A683" s="40"/>
      <c r="B683" s="40"/>
      <c r="C683" s="40"/>
      <c r="D683" s="40"/>
      <c r="E683" s="41"/>
      <c r="F683" s="41"/>
      <c r="G683" s="40"/>
      <c r="H683" s="40"/>
      <c r="I683" s="40"/>
      <c r="J683" s="40"/>
      <c r="K683" s="40"/>
      <c r="L683" s="40"/>
    </row>
    <row r="684" spans="1:12" ht="15.75" customHeight="1" x14ac:dyDescent="0.25">
      <c r="A684" s="40"/>
      <c r="B684" s="40"/>
      <c r="C684" s="40"/>
      <c r="D684" s="40"/>
      <c r="E684" s="41"/>
      <c r="F684" s="41"/>
      <c r="G684" s="40"/>
      <c r="H684" s="40"/>
      <c r="I684" s="40"/>
      <c r="J684" s="40"/>
      <c r="K684" s="40"/>
      <c r="L684" s="40"/>
    </row>
    <row r="685" spans="1:12" ht="15.75" customHeight="1" x14ac:dyDescent="0.25">
      <c r="A685" s="40"/>
      <c r="B685" s="40"/>
      <c r="C685" s="40"/>
      <c r="D685" s="40"/>
      <c r="E685" s="41"/>
      <c r="F685" s="41"/>
      <c r="G685" s="40"/>
      <c r="H685" s="40"/>
      <c r="I685" s="40"/>
      <c r="J685" s="40"/>
      <c r="K685" s="40"/>
      <c r="L685" s="40"/>
    </row>
    <row r="686" spans="1:12" ht="15.75" customHeight="1" x14ac:dyDescent="0.25">
      <c r="A686" s="40"/>
      <c r="B686" s="40"/>
      <c r="C686" s="40"/>
      <c r="D686" s="40"/>
      <c r="E686" s="41"/>
      <c r="F686" s="41"/>
      <c r="G686" s="40"/>
      <c r="H686" s="40"/>
      <c r="I686" s="40"/>
      <c r="J686" s="40"/>
      <c r="K686" s="40"/>
      <c r="L686" s="40"/>
    </row>
    <row r="687" spans="1:12" ht="15.75" customHeight="1" x14ac:dyDescent="0.25">
      <c r="A687" s="40"/>
      <c r="B687" s="40"/>
      <c r="C687" s="40"/>
      <c r="D687" s="40"/>
      <c r="E687" s="41"/>
      <c r="F687" s="41"/>
      <c r="G687" s="40"/>
      <c r="H687" s="40"/>
      <c r="I687" s="40"/>
      <c r="J687" s="40"/>
      <c r="K687" s="40"/>
      <c r="L687" s="40"/>
    </row>
    <row r="688" spans="1:12" ht="15.75" customHeight="1" x14ac:dyDescent="0.25">
      <c r="A688" s="40"/>
      <c r="B688" s="40"/>
      <c r="C688" s="40"/>
      <c r="D688" s="40"/>
      <c r="E688" s="41"/>
      <c r="F688" s="41"/>
      <c r="G688" s="40"/>
      <c r="H688" s="40"/>
      <c r="I688" s="40"/>
      <c r="J688" s="40"/>
      <c r="K688" s="40"/>
      <c r="L688" s="40"/>
    </row>
    <row r="689" spans="1:12" ht="15.75" customHeight="1" x14ac:dyDescent="0.25">
      <c r="A689" s="40"/>
      <c r="B689" s="40"/>
      <c r="C689" s="40"/>
      <c r="D689" s="40"/>
      <c r="E689" s="41"/>
      <c r="F689" s="41"/>
      <c r="G689" s="40"/>
      <c r="H689" s="40"/>
      <c r="I689" s="40"/>
      <c r="J689" s="40"/>
      <c r="K689" s="40"/>
      <c r="L689" s="40"/>
    </row>
    <row r="690" spans="1:12" ht="15.75" customHeight="1" x14ac:dyDescent="0.25">
      <c r="A690" s="40"/>
      <c r="B690" s="40"/>
      <c r="C690" s="40"/>
      <c r="D690" s="40"/>
      <c r="E690" s="41"/>
      <c r="F690" s="41"/>
      <c r="G690" s="40"/>
      <c r="H690" s="40"/>
      <c r="I690" s="40"/>
      <c r="J690" s="40"/>
      <c r="K690" s="40"/>
      <c r="L690" s="40"/>
    </row>
    <row r="691" spans="1:12" ht="15.75" customHeight="1" x14ac:dyDescent="0.25">
      <c r="A691" s="40"/>
      <c r="B691" s="40"/>
      <c r="C691" s="40"/>
      <c r="D691" s="40"/>
      <c r="E691" s="41"/>
      <c r="F691" s="41"/>
      <c r="G691" s="40"/>
      <c r="H691" s="40"/>
      <c r="I691" s="40"/>
      <c r="J691" s="40"/>
      <c r="K691" s="40"/>
      <c r="L691" s="40"/>
    </row>
    <row r="692" spans="1:12" ht="15.75" customHeight="1" x14ac:dyDescent="0.25">
      <c r="A692" s="40"/>
      <c r="B692" s="40"/>
      <c r="C692" s="40"/>
      <c r="D692" s="40"/>
      <c r="E692" s="41"/>
      <c r="F692" s="41"/>
      <c r="G692" s="40"/>
      <c r="H692" s="40"/>
      <c r="I692" s="40"/>
      <c r="J692" s="40"/>
      <c r="K692" s="40"/>
      <c r="L692" s="40"/>
    </row>
    <row r="693" spans="1:12" ht="15.75" customHeight="1" x14ac:dyDescent="0.25">
      <c r="A693" s="40"/>
      <c r="B693" s="40"/>
      <c r="C693" s="40"/>
      <c r="D693" s="40"/>
      <c r="E693" s="41"/>
      <c r="F693" s="41"/>
      <c r="G693" s="40"/>
      <c r="H693" s="40"/>
      <c r="I693" s="40"/>
      <c r="J693" s="40"/>
      <c r="K693" s="40"/>
      <c r="L693" s="40"/>
    </row>
    <row r="694" spans="1:12" ht="15.75" customHeight="1" x14ac:dyDescent="0.25">
      <c r="A694" s="40"/>
      <c r="B694" s="40"/>
      <c r="C694" s="40"/>
      <c r="D694" s="40"/>
      <c r="E694" s="41"/>
      <c r="F694" s="41"/>
      <c r="G694" s="40"/>
      <c r="H694" s="40"/>
      <c r="I694" s="40"/>
      <c r="J694" s="40"/>
      <c r="K694" s="40"/>
      <c r="L694" s="40"/>
    </row>
    <row r="695" spans="1:12" ht="15.75" customHeight="1" x14ac:dyDescent="0.25">
      <c r="A695" s="40"/>
      <c r="B695" s="40"/>
      <c r="C695" s="40"/>
      <c r="D695" s="40"/>
      <c r="E695" s="41"/>
      <c r="F695" s="41"/>
      <c r="G695" s="40"/>
      <c r="H695" s="40"/>
      <c r="I695" s="40"/>
      <c r="J695" s="40"/>
      <c r="K695" s="40"/>
      <c r="L695" s="40"/>
    </row>
    <row r="696" spans="1:12" ht="15.75" customHeight="1" x14ac:dyDescent="0.25">
      <c r="A696" s="40"/>
      <c r="B696" s="40"/>
      <c r="C696" s="40"/>
      <c r="D696" s="40"/>
      <c r="E696" s="41"/>
      <c r="F696" s="41"/>
      <c r="G696" s="40"/>
      <c r="H696" s="40"/>
      <c r="I696" s="40"/>
      <c r="J696" s="40"/>
      <c r="K696" s="40"/>
      <c r="L696" s="40"/>
    </row>
    <row r="697" spans="1:12" ht="15.75" customHeight="1" x14ac:dyDescent="0.25">
      <c r="A697" s="40"/>
      <c r="B697" s="40"/>
      <c r="C697" s="40"/>
      <c r="D697" s="40"/>
      <c r="E697" s="41"/>
      <c r="F697" s="41"/>
      <c r="G697" s="40"/>
      <c r="H697" s="40"/>
      <c r="I697" s="40"/>
      <c r="J697" s="40"/>
      <c r="K697" s="40"/>
      <c r="L697" s="40"/>
    </row>
    <row r="698" spans="1:12" ht="15.75" customHeight="1" x14ac:dyDescent="0.25">
      <c r="A698" s="40"/>
      <c r="B698" s="40"/>
      <c r="C698" s="40"/>
      <c r="D698" s="40"/>
      <c r="E698" s="41"/>
      <c r="F698" s="41"/>
      <c r="G698" s="40"/>
      <c r="H698" s="40"/>
      <c r="I698" s="40"/>
      <c r="J698" s="40"/>
      <c r="K698" s="40"/>
      <c r="L698" s="40"/>
    </row>
    <row r="699" spans="1:12" ht="15.75" customHeight="1" x14ac:dyDescent="0.25">
      <c r="A699" s="40"/>
      <c r="B699" s="40"/>
      <c r="C699" s="40"/>
      <c r="D699" s="40"/>
      <c r="E699" s="41"/>
      <c r="F699" s="41"/>
      <c r="G699" s="40"/>
      <c r="H699" s="40"/>
      <c r="I699" s="40"/>
      <c r="J699" s="40"/>
      <c r="K699" s="40"/>
      <c r="L699" s="40"/>
    </row>
    <row r="700" spans="1:12" ht="15.75" customHeight="1" x14ac:dyDescent="0.25">
      <c r="A700" s="40"/>
      <c r="B700" s="40"/>
      <c r="C700" s="40"/>
      <c r="D700" s="40"/>
      <c r="E700" s="41"/>
      <c r="F700" s="41"/>
      <c r="G700" s="40"/>
      <c r="H700" s="40"/>
      <c r="I700" s="40"/>
      <c r="J700" s="40"/>
      <c r="K700" s="40"/>
      <c r="L700" s="40"/>
    </row>
    <row r="701" spans="1:12" ht="15.75" customHeight="1" x14ac:dyDescent="0.25">
      <c r="A701" s="40"/>
      <c r="B701" s="40"/>
      <c r="C701" s="40"/>
      <c r="D701" s="40"/>
      <c r="E701" s="41"/>
      <c r="F701" s="41"/>
      <c r="G701" s="40"/>
      <c r="H701" s="40"/>
      <c r="I701" s="40"/>
      <c r="J701" s="40"/>
      <c r="K701" s="40"/>
      <c r="L701" s="40"/>
    </row>
    <row r="702" spans="1:12" ht="15.75" customHeight="1" x14ac:dyDescent="0.25">
      <c r="A702" s="40"/>
      <c r="B702" s="40"/>
      <c r="C702" s="40"/>
      <c r="D702" s="40"/>
      <c r="E702" s="41"/>
      <c r="F702" s="41"/>
      <c r="G702" s="40"/>
      <c r="H702" s="40"/>
      <c r="I702" s="40"/>
      <c r="J702" s="40"/>
      <c r="K702" s="40"/>
      <c r="L702" s="40"/>
    </row>
    <row r="703" spans="1:12" ht="15.75" customHeight="1" x14ac:dyDescent="0.25">
      <c r="A703" s="40"/>
      <c r="B703" s="40"/>
      <c r="C703" s="40"/>
      <c r="D703" s="40"/>
      <c r="E703" s="41"/>
      <c r="F703" s="41"/>
      <c r="G703" s="40"/>
      <c r="H703" s="40"/>
      <c r="I703" s="40"/>
      <c r="J703" s="40"/>
      <c r="K703" s="40"/>
      <c r="L703" s="40"/>
    </row>
    <row r="704" spans="1:12" ht="15.75" customHeight="1" x14ac:dyDescent="0.25">
      <c r="A704" s="40"/>
      <c r="B704" s="40"/>
      <c r="C704" s="40"/>
      <c r="D704" s="40"/>
      <c r="E704" s="41"/>
      <c r="F704" s="41"/>
      <c r="G704" s="40"/>
      <c r="H704" s="40"/>
      <c r="I704" s="40"/>
      <c r="J704" s="40"/>
      <c r="K704" s="40"/>
      <c r="L704" s="40"/>
    </row>
    <row r="705" spans="1:12" ht="15.75" customHeight="1" x14ac:dyDescent="0.25">
      <c r="A705" s="40"/>
      <c r="B705" s="40"/>
      <c r="C705" s="40"/>
      <c r="D705" s="40"/>
      <c r="E705" s="41"/>
      <c r="F705" s="41"/>
      <c r="G705" s="40"/>
      <c r="H705" s="40"/>
      <c r="I705" s="40"/>
      <c r="J705" s="40"/>
      <c r="K705" s="40"/>
      <c r="L705" s="40"/>
    </row>
    <row r="706" spans="1:12" ht="15.75" customHeight="1" x14ac:dyDescent="0.25">
      <c r="A706" s="40"/>
      <c r="B706" s="40"/>
      <c r="C706" s="40"/>
      <c r="D706" s="40"/>
      <c r="E706" s="41"/>
      <c r="F706" s="41"/>
      <c r="G706" s="40"/>
      <c r="H706" s="40"/>
      <c r="I706" s="40"/>
      <c r="J706" s="40"/>
      <c r="K706" s="40"/>
      <c r="L706" s="40"/>
    </row>
    <row r="707" spans="1:12" ht="15.75" customHeight="1" x14ac:dyDescent="0.25">
      <c r="A707" s="40"/>
      <c r="B707" s="40"/>
      <c r="C707" s="40"/>
      <c r="D707" s="40"/>
      <c r="E707" s="41"/>
      <c r="F707" s="41"/>
      <c r="G707" s="40"/>
      <c r="H707" s="40"/>
      <c r="I707" s="40"/>
      <c r="J707" s="40"/>
      <c r="K707" s="40"/>
      <c r="L707" s="40"/>
    </row>
    <row r="708" spans="1:12" ht="15.75" customHeight="1" x14ac:dyDescent="0.25">
      <c r="A708" s="40"/>
      <c r="B708" s="40"/>
      <c r="C708" s="40"/>
      <c r="D708" s="40"/>
      <c r="E708" s="41"/>
      <c r="F708" s="41"/>
      <c r="G708" s="40"/>
      <c r="H708" s="40"/>
      <c r="I708" s="40"/>
      <c r="J708" s="40"/>
      <c r="K708" s="40"/>
      <c r="L708" s="40"/>
    </row>
    <row r="709" spans="1:12" ht="15.75" customHeight="1" x14ac:dyDescent="0.25">
      <c r="A709" s="40"/>
      <c r="B709" s="40"/>
      <c r="C709" s="40"/>
      <c r="D709" s="40"/>
      <c r="E709" s="41"/>
      <c r="F709" s="41"/>
      <c r="G709" s="40"/>
      <c r="H709" s="40"/>
      <c r="I709" s="40"/>
      <c r="J709" s="40"/>
      <c r="K709" s="40"/>
      <c r="L709" s="40"/>
    </row>
    <row r="710" spans="1:12" ht="15.75" customHeight="1" x14ac:dyDescent="0.25">
      <c r="A710" s="40"/>
      <c r="B710" s="40"/>
      <c r="C710" s="40"/>
      <c r="D710" s="40"/>
      <c r="E710" s="41"/>
      <c r="F710" s="41"/>
      <c r="G710" s="40"/>
      <c r="H710" s="40"/>
      <c r="I710" s="40"/>
      <c r="J710" s="40"/>
      <c r="K710" s="40"/>
      <c r="L710" s="40"/>
    </row>
    <row r="711" spans="1:12" ht="15.75" customHeight="1" x14ac:dyDescent="0.25">
      <c r="A711" s="40"/>
      <c r="B711" s="40"/>
      <c r="C711" s="40"/>
      <c r="D711" s="40"/>
      <c r="E711" s="41"/>
      <c r="F711" s="41"/>
      <c r="G711" s="40"/>
      <c r="H711" s="40"/>
      <c r="I711" s="40"/>
      <c r="J711" s="40"/>
      <c r="K711" s="40"/>
      <c r="L711" s="40"/>
    </row>
    <row r="712" spans="1:12" ht="15.75" customHeight="1" x14ac:dyDescent="0.25">
      <c r="A712" s="40"/>
      <c r="B712" s="40"/>
      <c r="C712" s="40"/>
      <c r="D712" s="40"/>
      <c r="E712" s="41"/>
      <c r="F712" s="41"/>
      <c r="G712" s="40"/>
      <c r="H712" s="40"/>
      <c r="I712" s="40"/>
      <c r="J712" s="40"/>
      <c r="K712" s="40"/>
      <c r="L712" s="40"/>
    </row>
    <row r="713" spans="1:12" ht="15.75" customHeight="1" x14ac:dyDescent="0.25">
      <c r="A713" s="40"/>
      <c r="B713" s="40"/>
      <c r="C713" s="40"/>
      <c r="D713" s="40"/>
      <c r="E713" s="41"/>
      <c r="F713" s="41"/>
      <c r="G713" s="40"/>
      <c r="H713" s="40"/>
      <c r="I713" s="40"/>
      <c r="J713" s="40"/>
      <c r="K713" s="40"/>
      <c r="L713" s="40"/>
    </row>
    <row r="714" spans="1:12" ht="15.75" customHeight="1" x14ac:dyDescent="0.25">
      <c r="A714" s="40"/>
      <c r="B714" s="40"/>
      <c r="C714" s="40"/>
      <c r="D714" s="40"/>
      <c r="E714" s="41"/>
      <c r="F714" s="41"/>
      <c r="G714" s="40"/>
      <c r="H714" s="40"/>
      <c r="I714" s="40"/>
      <c r="J714" s="40"/>
      <c r="K714" s="40"/>
      <c r="L714" s="40"/>
    </row>
    <row r="715" spans="1:12" ht="15.75" customHeight="1" x14ac:dyDescent="0.25">
      <c r="A715" s="40"/>
      <c r="B715" s="40"/>
      <c r="C715" s="40"/>
      <c r="D715" s="40"/>
      <c r="E715" s="41"/>
      <c r="F715" s="41"/>
      <c r="G715" s="40"/>
      <c r="H715" s="40"/>
      <c r="I715" s="40"/>
      <c r="J715" s="40"/>
      <c r="K715" s="40"/>
      <c r="L715" s="40"/>
    </row>
    <row r="716" spans="1:12" ht="15.75" customHeight="1" x14ac:dyDescent="0.25">
      <c r="A716" s="40"/>
      <c r="B716" s="40"/>
      <c r="C716" s="40"/>
      <c r="D716" s="40"/>
      <c r="E716" s="41"/>
      <c r="F716" s="41"/>
      <c r="G716" s="40"/>
      <c r="H716" s="40"/>
      <c r="I716" s="40"/>
      <c r="J716" s="40"/>
      <c r="K716" s="40"/>
      <c r="L716" s="40"/>
    </row>
    <row r="717" spans="1:12" ht="15.75" customHeight="1" x14ac:dyDescent="0.25">
      <c r="A717" s="40"/>
      <c r="B717" s="40"/>
      <c r="C717" s="40"/>
      <c r="D717" s="40"/>
      <c r="E717" s="41"/>
      <c r="F717" s="41"/>
      <c r="G717" s="40"/>
      <c r="H717" s="40"/>
      <c r="I717" s="40"/>
      <c r="J717" s="40"/>
      <c r="K717" s="40"/>
      <c r="L717" s="40"/>
    </row>
    <row r="718" spans="1:12" ht="15.75" customHeight="1" x14ac:dyDescent="0.25">
      <c r="A718" s="40"/>
      <c r="B718" s="40"/>
      <c r="C718" s="40"/>
      <c r="D718" s="40"/>
      <c r="E718" s="41"/>
      <c r="F718" s="41"/>
      <c r="G718" s="40"/>
      <c r="H718" s="40"/>
      <c r="I718" s="40"/>
      <c r="J718" s="40"/>
      <c r="K718" s="40"/>
      <c r="L718" s="40"/>
    </row>
    <row r="719" spans="1:12" ht="15.75" customHeight="1" x14ac:dyDescent="0.25">
      <c r="A719" s="40"/>
      <c r="B719" s="40"/>
      <c r="C719" s="40"/>
      <c r="D719" s="40"/>
      <c r="E719" s="41"/>
      <c r="F719" s="41"/>
      <c r="G719" s="40"/>
      <c r="H719" s="40"/>
      <c r="I719" s="40"/>
      <c r="J719" s="40"/>
      <c r="K719" s="40"/>
      <c r="L719" s="40"/>
    </row>
    <row r="720" spans="1:12" ht="15.75" customHeight="1" x14ac:dyDescent="0.25">
      <c r="A720" s="40"/>
      <c r="B720" s="40"/>
      <c r="C720" s="40"/>
      <c r="D720" s="40"/>
      <c r="E720" s="41"/>
      <c r="F720" s="41"/>
      <c r="G720" s="40"/>
      <c r="H720" s="40"/>
      <c r="I720" s="40"/>
      <c r="J720" s="40"/>
      <c r="K720" s="40"/>
      <c r="L720" s="40"/>
    </row>
    <row r="721" spans="1:12" ht="15.75" customHeight="1" x14ac:dyDescent="0.25">
      <c r="A721" s="40"/>
      <c r="B721" s="40"/>
      <c r="C721" s="40"/>
      <c r="D721" s="40"/>
      <c r="E721" s="41"/>
      <c r="F721" s="41"/>
      <c r="G721" s="40"/>
      <c r="H721" s="40"/>
      <c r="I721" s="40"/>
      <c r="J721" s="40"/>
      <c r="K721" s="40"/>
      <c r="L721" s="40"/>
    </row>
    <row r="722" spans="1:12" ht="15.75" customHeight="1" x14ac:dyDescent="0.25">
      <c r="A722" s="40"/>
      <c r="B722" s="40"/>
      <c r="C722" s="40"/>
      <c r="D722" s="40"/>
      <c r="E722" s="41"/>
      <c r="F722" s="41"/>
      <c r="G722" s="40"/>
      <c r="H722" s="40"/>
      <c r="I722" s="40"/>
      <c r="J722" s="40"/>
      <c r="K722" s="40"/>
      <c r="L722" s="40"/>
    </row>
    <row r="723" spans="1:12" ht="15.75" customHeight="1" x14ac:dyDescent="0.25">
      <c r="A723" s="40"/>
      <c r="B723" s="40"/>
      <c r="C723" s="40"/>
      <c r="D723" s="40"/>
      <c r="E723" s="41"/>
      <c r="F723" s="41"/>
      <c r="G723" s="40"/>
      <c r="H723" s="40"/>
      <c r="I723" s="40"/>
      <c r="J723" s="40"/>
      <c r="K723" s="40"/>
      <c r="L723" s="40"/>
    </row>
    <row r="724" spans="1:12" ht="15.75" customHeight="1" x14ac:dyDescent="0.25">
      <c r="A724" s="40"/>
      <c r="B724" s="40"/>
      <c r="C724" s="40"/>
      <c r="D724" s="40"/>
      <c r="E724" s="41"/>
      <c r="F724" s="41"/>
      <c r="G724" s="40"/>
      <c r="H724" s="40"/>
      <c r="I724" s="40"/>
      <c r="J724" s="40"/>
      <c r="K724" s="40"/>
      <c r="L724" s="40"/>
    </row>
    <row r="725" spans="1:12" ht="15.75" customHeight="1" x14ac:dyDescent="0.25">
      <c r="A725" s="40"/>
      <c r="B725" s="40"/>
      <c r="C725" s="40"/>
      <c r="D725" s="40"/>
      <c r="E725" s="41"/>
      <c r="F725" s="41"/>
      <c r="G725" s="40"/>
      <c r="H725" s="40"/>
      <c r="I725" s="40"/>
      <c r="J725" s="40"/>
      <c r="K725" s="40"/>
      <c r="L725" s="40"/>
    </row>
    <row r="726" spans="1:12" ht="15.75" customHeight="1" x14ac:dyDescent="0.25">
      <c r="A726" s="40"/>
      <c r="B726" s="40"/>
      <c r="C726" s="40"/>
      <c r="D726" s="40"/>
      <c r="E726" s="41"/>
      <c r="F726" s="41"/>
      <c r="G726" s="40"/>
      <c r="H726" s="40"/>
      <c r="I726" s="40"/>
      <c r="J726" s="40"/>
      <c r="K726" s="40"/>
      <c r="L726" s="40"/>
    </row>
    <row r="727" spans="1:12" ht="15.75" customHeight="1" x14ac:dyDescent="0.25">
      <c r="A727" s="40"/>
      <c r="B727" s="40"/>
      <c r="C727" s="40"/>
      <c r="D727" s="40"/>
      <c r="E727" s="41"/>
      <c r="F727" s="41"/>
      <c r="G727" s="40"/>
      <c r="H727" s="40"/>
      <c r="I727" s="40"/>
      <c r="J727" s="40"/>
      <c r="K727" s="40"/>
      <c r="L727" s="40"/>
    </row>
    <row r="728" spans="1:12" ht="15.75" customHeight="1" x14ac:dyDescent="0.25">
      <c r="A728" s="40"/>
      <c r="B728" s="40"/>
      <c r="C728" s="40"/>
      <c r="D728" s="40"/>
      <c r="E728" s="41"/>
      <c r="F728" s="41"/>
      <c r="G728" s="40"/>
      <c r="H728" s="40"/>
      <c r="I728" s="40"/>
      <c r="J728" s="40"/>
      <c r="K728" s="40"/>
      <c r="L728" s="40"/>
    </row>
    <row r="729" spans="1:12" ht="15.75" customHeight="1" x14ac:dyDescent="0.25">
      <c r="A729" s="40"/>
      <c r="B729" s="40"/>
      <c r="C729" s="40"/>
      <c r="D729" s="40"/>
      <c r="E729" s="41"/>
      <c r="F729" s="41"/>
      <c r="G729" s="40"/>
      <c r="H729" s="40"/>
      <c r="I729" s="40"/>
      <c r="J729" s="40"/>
      <c r="K729" s="40"/>
      <c r="L729" s="40"/>
    </row>
    <row r="730" spans="1:12" ht="15.75" customHeight="1" x14ac:dyDescent="0.25">
      <c r="A730" s="40"/>
      <c r="B730" s="40"/>
      <c r="C730" s="40"/>
      <c r="D730" s="40"/>
      <c r="E730" s="41"/>
      <c r="F730" s="41"/>
      <c r="G730" s="40"/>
      <c r="H730" s="40"/>
      <c r="I730" s="40"/>
      <c r="J730" s="40"/>
      <c r="K730" s="40"/>
      <c r="L730" s="40"/>
    </row>
    <row r="731" spans="1:12" ht="15.75" customHeight="1" x14ac:dyDescent="0.25">
      <c r="A731" s="40"/>
      <c r="B731" s="40"/>
      <c r="C731" s="40"/>
      <c r="D731" s="40"/>
      <c r="E731" s="41"/>
      <c r="F731" s="41"/>
      <c r="G731" s="40"/>
      <c r="H731" s="40"/>
      <c r="I731" s="40"/>
      <c r="J731" s="40"/>
      <c r="K731" s="40"/>
      <c r="L731" s="40"/>
    </row>
    <row r="732" spans="1:12" ht="15.75" customHeight="1" x14ac:dyDescent="0.25">
      <c r="A732" s="40"/>
      <c r="B732" s="40"/>
      <c r="C732" s="40"/>
      <c r="D732" s="40"/>
      <c r="E732" s="41"/>
      <c r="F732" s="41"/>
      <c r="G732" s="40"/>
      <c r="H732" s="40"/>
      <c r="I732" s="40"/>
      <c r="J732" s="40"/>
      <c r="K732" s="40"/>
      <c r="L732" s="40"/>
    </row>
    <row r="733" spans="1:12" ht="15.75" customHeight="1" x14ac:dyDescent="0.25">
      <c r="A733" s="40"/>
      <c r="B733" s="40"/>
      <c r="C733" s="40"/>
      <c r="D733" s="40"/>
      <c r="E733" s="41"/>
      <c r="F733" s="41"/>
      <c r="G733" s="40"/>
      <c r="H733" s="40"/>
      <c r="I733" s="40"/>
      <c r="J733" s="40"/>
      <c r="K733" s="40"/>
      <c r="L733" s="40"/>
    </row>
    <row r="734" spans="1:12" ht="15.75" customHeight="1" x14ac:dyDescent="0.25">
      <c r="A734" s="40"/>
      <c r="B734" s="40"/>
      <c r="C734" s="40"/>
      <c r="D734" s="40"/>
      <c r="E734" s="41"/>
      <c r="F734" s="41"/>
      <c r="G734" s="40"/>
      <c r="H734" s="40"/>
      <c r="I734" s="40"/>
      <c r="J734" s="40"/>
      <c r="K734" s="40"/>
      <c r="L734" s="40"/>
    </row>
    <row r="735" spans="1:12" ht="15.75" customHeight="1" x14ac:dyDescent="0.25">
      <c r="A735" s="40"/>
      <c r="B735" s="40"/>
      <c r="C735" s="40"/>
      <c r="D735" s="40"/>
      <c r="E735" s="41"/>
      <c r="F735" s="41"/>
      <c r="G735" s="40"/>
      <c r="H735" s="40"/>
      <c r="I735" s="40"/>
      <c r="J735" s="40"/>
      <c r="K735" s="40"/>
      <c r="L735" s="40"/>
    </row>
    <row r="736" spans="1:12" ht="15.75" customHeight="1" x14ac:dyDescent="0.25">
      <c r="A736" s="40"/>
      <c r="B736" s="40"/>
      <c r="C736" s="40"/>
      <c r="D736" s="40"/>
      <c r="E736" s="41"/>
      <c r="F736" s="41"/>
      <c r="G736" s="40"/>
      <c r="H736" s="40"/>
      <c r="I736" s="40"/>
      <c r="J736" s="40"/>
      <c r="K736" s="40"/>
      <c r="L736" s="40"/>
    </row>
    <row r="737" spans="1:12" ht="15.75" customHeight="1" x14ac:dyDescent="0.25">
      <c r="A737" s="40"/>
      <c r="B737" s="40"/>
      <c r="C737" s="40"/>
      <c r="D737" s="40"/>
      <c r="E737" s="41"/>
      <c r="F737" s="41"/>
      <c r="G737" s="40"/>
      <c r="H737" s="40"/>
      <c r="I737" s="40"/>
      <c r="J737" s="40"/>
      <c r="K737" s="40"/>
      <c r="L737" s="40"/>
    </row>
    <row r="738" spans="1:12" ht="15.75" customHeight="1" x14ac:dyDescent="0.25">
      <c r="A738" s="40"/>
      <c r="B738" s="40"/>
      <c r="C738" s="40"/>
      <c r="D738" s="40"/>
      <c r="E738" s="41"/>
      <c r="F738" s="41"/>
      <c r="G738" s="40"/>
      <c r="H738" s="40"/>
      <c r="I738" s="40"/>
      <c r="J738" s="40"/>
      <c r="K738" s="40"/>
      <c r="L738" s="40"/>
    </row>
    <row r="739" spans="1:12" ht="15.75" customHeight="1" x14ac:dyDescent="0.25">
      <c r="A739" s="40"/>
      <c r="B739" s="40"/>
      <c r="C739" s="40"/>
      <c r="D739" s="40"/>
      <c r="E739" s="41"/>
      <c r="F739" s="41"/>
      <c r="G739" s="40"/>
      <c r="H739" s="40"/>
      <c r="I739" s="40"/>
      <c r="J739" s="40"/>
      <c r="K739" s="40"/>
      <c r="L739" s="40"/>
    </row>
    <row r="740" spans="1:12" ht="15.75" customHeight="1" x14ac:dyDescent="0.25">
      <c r="A740" s="40"/>
      <c r="B740" s="40"/>
      <c r="C740" s="40"/>
      <c r="D740" s="40"/>
      <c r="E740" s="41"/>
      <c r="F740" s="41"/>
      <c r="G740" s="40"/>
      <c r="H740" s="40"/>
      <c r="I740" s="40"/>
      <c r="J740" s="40"/>
      <c r="K740" s="40"/>
      <c r="L740" s="40"/>
    </row>
    <row r="741" spans="1:12" ht="15.75" customHeight="1" x14ac:dyDescent="0.25">
      <c r="A741" s="40"/>
      <c r="B741" s="40"/>
      <c r="C741" s="40"/>
      <c r="D741" s="40"/>
      <c r="E741" s="41"/>
      <c r="F741" s="41"/>
      <c r="G741" s="40"/>
      <c r="H741" s="40"/>
      <c r="I741" s="40"/>
      <c r="J741" s="40"/>
      <c r="K741" s="40"/>
      <c r="L741" s="40"/>
    </row>
    <row r="742" spans="1:12" ht="15.75" customHeight="1" x14ac:dyDescent="0.25">
      <c r="A742" s="40"/>
      <c r="B742" s="40"/>
      <c r="C742" s="40"/>
      <c r="D742" s="40"/>
      <c r="E742" s="41"/>
      <c r="F742" s="41"/>
      <c r="G742" s="40"/>
      <c r="H742" s="40"/>
      <c r="I742" s="40"/>
      <c r="J742" s="40"/>
      <c r="K742" s="40"/>
      <c r="L742" s="40"/>
    </row>
    <row r="743" spans="1:12" ht="15.75" customHeight="1" x14ac:dyDescent="0.25">
      <c r="A743" s="40"/>
      <c r="B743" s="40"/>
      <c r="C743" s="40"/>
      <c r="D743" s="40"/>
      <c r="E743" s="41"/>
      <c r="F743" s="41"/>
      <c r="G743" s="40"/>
      <c r="H743" s="40"/>
      <c r="I743" s="40"/>
      <c r="J743" s="40"/>
      <c r="K743" s="40"/>
      <c r="L743" s="40"/>
    </row>
    <row r="744" spans="1:12" ht="15.75" customHeight="1" x14ac:dyDescent="0.25">
      <c r="A744" s="40"/>
      <c r="B744" s="40"/>
      <c r="C744" s="40"/>
      <c r="D744" s="40"/>
      <c r="E744" s="41"/>
      <c r="F744" s="41"/>
      <c r="G744" s="40"/>
      <c r="H744" s="40"/>
      <c r="I744" s="40"/>
      <c r="J744" s="40"/>
      <c r="K744" s="40"/>
      <c r="L744" s="40"/>
    </row>
    <row r="745" spans="1:12" ht="15.75" customHeight="1" x14ac:dyDescent="0.25">
      <c r="A745" s="40"/>
      <c r="B745" s="40"/>
      <c r="C745" s="40"/>
      <c r="D745" s="40"/>
      <c r="E745" s="41"/>
      <c r="F745" s="41"/>
      <c r="G745" s="40"/>
      <c r="H745" s="40"/>
      <c r="I745" s="40"/>
      <c r="J745" s="40"/>
      <c r="K745" s="40"/>
      <c r="L745" s="40"/>
    </row>
    <row r="746" spans="1:12" ht="15.75" customHeight="1" x14ac:dyDescent="0.25">
      <c r="A746" s="40"/>
      <c r="B746" s="40"/>
      <c r="C746" s="40"/>
      <c r="D746" s="40"/>
      <c r="E746" s="41"/>
      <c r="F746" s="41"/>
      <c r="G746" s="40"/>
      <c r="H746" s="40"/>
      <c r="I746" s="40"/>
      <c r="J746" s="40"/>
      <c r="K746" s="40"/>
      <c r="L746" s="40"/>
    </row>
    <row r="747" spans="1:12" ht="15.75" customHeight="1" x14ac:dyDescent="0.25">
      <c r="A747" s="40"/>
      <c r="B747" s="40"/>
      <c r="C747" s="40"/>
      <c r="D747" s="40"/>
      <c r="E747" s="41"/>
      <c r="F747" s="41"/>
      <c r="G747" s="40"/>
      <c r="H747" s="40"/>
      <c r="I747" s="40"/>
      <c r="J747" s="40"/>
      <c r="K747" s="40"/>
      <c r="L747" s="40"/>
    </row>
    <row r="748" spans="1:12" ht="15.75" customHeight="1" x14ac:dyDescent="0.25">
      <c r="A748" s="40"/>
      <c r="B748" s="40"/>
      <c r="C748" s="40"/>
      <c r="D748" s="40"/>
      <c r="E748" s="41"/>
      <c r="F748" s="41"/>
      <c r="G748" s="40"/>
      <c r="H748" s="40"/>
      <c r="I748" s="40"/>
      <c r="J748" s="40"/>
      <c r="K748" s="40"/>
      <c r="L748" s="40"/>
    </row>
    <row r="749" spans="1:12" ht="15.75" customHeight="1" x14ac:dyDescent="0.25">
      <c r="A749" s="40"/>
      <c r="B749" s="40"/>
      <c r="C749" s="40"/>
      <c r="D749" s="40"/>
      <c r="E749" s="41"/>
      <c r="F749" s="41"/>
      <c r="G749" s="40"/>
      <c r="H749" s="40"/>
      <c r="I749" s="40"/>
      <c r="J749" s="40"/>
      <c r="K749" s="40"/>
      <c r="L749" s="40"/>
    </row>
    <row r="750" spans="1:12" ht="15.75" customHeight="1" x14ac:dyDescent="0.25">
      <c r="A750" s="40"/>
      <c r="B750" s="40"/>
      <c r="C750" s="40"/>
      <c r="D750" s="40"/>
      <c r="E750" s="41"/>
      <c r="F750" s="41"/>
      <c r="G750" s="40"/>
      <c r="H750" s="40"/>
      <c r="I750" s="40"/>
      <c r="J750" s="40"/>
      <c r="K750" s="40"/>
      <c r="L750" s="40"/>
    </row>
    <row r="751" spans="1:12" ht="15.75" customHeight="1" x14ac:dyDescent="0.25">
      <c r="A751" s="40"/>
      <c r="B751" s="40"/>
      <c r="C751" s="40"/>
      <c r="D751" s="40"/>
      <c r="E751" s="41"/>
      <c r="F751" s="41"/>
      <c r="G751" s="40"/>
      <c r="H751" s="40"/>
      <c r="I751" s="40"/>
      <c r="J751" s="40"/>
      <c r="K751" s="40"/>
      <c r="L751" s="40"/>
    </row>
    <row r="752" spans="1:12" ht="15.75" customHeight="1" x14ac:dyDescent="0.25">
      <c r="A752" s="40"/>
      <c r="B752" s="40"/>
      <c r="C752" s="40"/>
      <c r="D752" s="40"/>
      <c r="E752" s="41"/>
      <c r="F752" s="41"/>
      <c r="G752" s="40"/>
      <c r="H752" s="40"/>
      <c r="I752" s="40"/>
      <c r="J752" s="40"/>
      <c r="K752" s="40"/>
      <c r="L752" s="40"/>
    </row>
    <row r="753" spans="1:12" ht="15.75" customHeight="1" x14ac:dyDescent="0.25">
      <c r="A753" s="40"/>
      <c r="B753" s="40"/>
      <c r="C753" s="40"/>
      <c r="D753" s="40"/>
      <c r="E753" s="41"/>
      <c r="F753" s="41"/>
      <c r="G753" s="40"/>
      <c r="H753" s="40"/>
      <c r="I753" s="40"/>
      <c r="J753" s="40"/>
      <c r="K753" s="40"/>
      <c r="L753" s="40"/>
    </row>
    <row r="754" spans="1:12" ht="15.75" customHeight="1" x14ac:dyDescent="0.25">
      <c r="A754" s="40"/>
      <c r="B754" s="40"/>
      <c r="C754" s="40"/>
      <c r="D754" s="40"/>
      <c r="E754" s="41"/>
      <c r="F754" s="41"/>
      <c r="G754" s="40"/>
      <c r="H754" s="40"/>
      <c r="I754" s="40"/>
      <c r="J754" s="40"/>
      <c r="K754" s="40"/>
      <c r="L754" s="40"/>
    </row>
    <row r="755" spans="1:12" ht="15.75" customHeight="1" x14ac:dyDescent="0.25">
      <c r="A755" s="40"/>
      <c r="B755" s="40"/>
      <c r="C755" s="40"/>
      <c r="D755" s="40"/>
      <c r="E755" s="41"/>
      <c r="F755" s="41"/>
      <c r="G755" s="40"/>
      <c r="H755" s="40"/>
      <c r="I755" s="40"/>
      <c r="J755" s="40"/>
      <c r="K755" s="40"/>
      <c r="L755" s="40"/>
    </row>
    <row r="756" spans="1:12" ht="15.75" customHeight="1" x14ac:dyDescent="0.25">
      <c r="A756" s="40"/>
      <c r="B756" s="40"/>
      <c r="C756" s="40"/>
      <c r="D756" s="40"/>
      <c r="E756" s="41"/>
      <c r="F756" s="41"/>
      <c r="G756" s="40"/>
      <c r="H756" s="40"/>
      <c r="I756" s="40"/>
      <c r="J756" s="40"/>
      <c r="K756" s="40"/>
      <c r="L756" s="40"/>
    </row>
    <row r="757" spans="1:12" ht="15.75" customHeight="1" x14ac:dyDescent="0.25">
      <c r="A757" s="40"/>
      <c r="B757" s="40"/>
      <c r="C757" s="40"/>
      <c r="D757" s="40"/>
      <c r="E757" s="41"/>
      <c r="F757" s="41"/>
      <c r="G757" s="40"/>
      <c r="H757" s="40"/>
      <c r="I757" s="40"/>
      <c r="J757" s="40"/>
      <c r="K757" s="40"/>
      <c r="L757" s="40"/>
    </row>
    <row r="758" spans="1:12" ht="15.75" customHeight="1" x14ac:dyDescent="0.25">
      <c r="A758" s="40"/>
      <c r="B758" s="40"/>
      <c r="C758" s="40"/>
      <c r="D758" s="40"/>
      <c r="E758" s="41"/>
      <c r="F758" s="41"/>
      <c r="G758" s="40"/>
      <c r="H758" s="40"/>
      <c r="I758" s="40"/>
      <c r="J758" s="40"/>
      <c r="K758" s="40"/>
      <c r="L758" s="40"/>
    </row>
    <row r="759" spans="1:12" ht="15.75" customHeight="1" x14ac:dyDescent="0.25">
      <c r="A759" s="40"/>
      <c r="B759" s="40"/>
      <c r="C759" s="40"/>
      <c r="D759" s="40"/>
      <c r="E759" s="41"/>
      <c r="F759" s="41"/>
      <c r="G759" s="40"/>
      <c r="H759" s="40"/>
      <c r="I759" s="40"/>
      <c r="J759" s="40"/>
      <c r="K759" s="40"/>
      <c r="L759" s="40"/>
    </row>
    <row r="760" spans="1:12" ht="15.75" customHeight="1" x14ac:dyDescent="0.25">
      <c r="A760" s="40"/>
      <c r="B760" s="40"/>
      <c r="C760" s="40"/>
      <c r="D760" s="40"/>
      <c r="E760" s="41"/>
      <c r="F760" s="41"/>
      <c r="G760" s="40"/>
      <c r="H760" s="40"/>
      <c r="I760" s="40"/>
      <c r="J760" s="40"/>
      <c r="K760" s="40"/>
      <c r="L760" s="40"/>
    </row>
    <row r="761" spans="1:12" ht="15.75" customHeight="1" x14ac:dyDescent="0.25">
      <c r="A761" s="40"/>
      <c r="B761" s="40"/>
      <c r="C761" s="40"/>
      <c r="D761" s="40"/>
      <c r="E761" s="41"/>
      <c r="F761" s="41"/>
      <c r="G761" s="40"/>
      <c r="H761" s="40"/>
      <c r="I761" s="40"/>
      <c r="J761" s="40"/>
      <c r="K761" s="40"/>
      <c r="L761" s="40"/>
    </row>
    <row r="762" spans="1:12" ht="15.75" customHeight="1" x14ac:dyDescent="0.25">
      <c r="A762" s="40"/>
      <c r="B762" s="40"/>
      <c r="C762" s="40"/>
      <c r="D762" s="40"/>
      <c r="E762" s="41"/>
      <c r="F762" s="41"/>
      <c r="G762" s="40"/>
      <c r="H762" s="40"/>
      <c r="I762" s="40"/>
      <c r="J762" s="40"/>
      <c r="K762" s="40"/>
      <c r="L762" s="40"/>
    </row>
    <row r="763" spans="1:12" ht="15.75" customHeight="1" x14ac:dyDescent="0.25">
      <c r="A763" s="40"/>
      <c r="B763" s="40"/>
      <c r="C763" s="40"/>
      <c r="D763" s="40"/>
      <c r="E763" s="41"/>
      <c r="F763" s="41"/>
      <c r="G763" s="40"/>
      <c r="H763" s="40"/>
      <c r="I763" s="40"/>
      <c r="J763" s="40"/>
      <c r="K763" s="40"/>
      <c r="L763" s="40"/>
    </row>
    <row r="764" spans="1:12" ht="15.75" customHeight="1" x14ac:dyDescent="0.25">
      <c r="A764" s="40"/>
      <c r="B764" s="40"/>
      <c r="C764" s="40"/>
      <c r="D764" s="40"/>
      <c r="E764" s="41"/>
      <c r="F764" s="41"/>
      <c r="G764" s="40"/>
      <c r="H764" s="40"/>
      <c r="I764" s="40"/>
      <c r="J764" s="40"/>
      <c r="K764" s="40"/>
      <c r="L764" s="40"/>
    </row>
    <row r="765" spans="1:12" ht="15.75" customHeight="1" x14ac:dyDescent="0.25">
      <c r="A765" s="40"/>
      <c r="B765" s="40"/>
      <c r="C765" s="40"/>
      <c r="D765" s="40"/>
      <c r="E765" s="41"/>
      <c r="F765" s="41"/>
      <c r="G765" s="40"/>
      <c r="H765" s="40"/>
      <c r="I765" s="40"/>
      <c r="J765" s="40"/>
      <c r="K765" s="40"/>
      <c r="L765" s="40"/>
    </row>
    <row r="766" spans="1:12" ht="15.75" customHeight="1" x14ac:dyDescent="0.25">
      <c r="A766" s="40"/>
      <c r="B766" s="40"/>
      <c r="C766" s="40"/>
      <c r="D766" s="40"/>
      <c r="E766" s="41"/>
      <c r="F766" s="41"/>
      <c r="G766" s="40"/>
      <c r="H766" s="40"/>
      <c r="I766" s="40"/>
      <c r="J766" s="40"/>
      <c r="K766" s="40"/>
      <c r="L766" s="40"/>
    </row>
    <row r="767" spans="1:12" ht="15.75" customHeight="1" x14ac:dyDescent="0.25">
      <c r="A767" s="40"/>
      <c r="B767" s="40"/>
      <c r="C767" s="40"/>
      <c r="D767" s="40"/>
      <c r="E767" s="41"/>
      <c r="F767" s="41"/>
      <c r="G767" s="40"/>
      <c r="H767" s="40"/>
      <c r="I767" s="40"/>
      <c r="J767" s="40"/>
      <c r="K767" s="40"/>
      <c r="L767" s="40"/>
    </row>
    <row r="768" spans="1:12" ht="15.75" customHeight="1" x14ac:dyDescent="0.25">
      <c r="A768" s="40"/>
      <c r="B768" s="40"/>
      <c r="C768" s="40"/>
      <c r="D768" s="40"/>
      <c r="E768" s="41"/>
      <c r="F768" s="41"/>
      <c r="G768" s="40"/>
      <c r="H768" s="40"/>
      <c r="I768" s="40"/>
      <c r="J768" s="40"/>
      <c r="K768" s="40"/>
      <c r="L768" s="40"/>
    </row>
    <row r="769" spans="1:12" ht="15.75" customHeight="1" x14ac:dyDescent="0.25">
      <c r="A769" s="40"/>
      <c r="B769" s="40"/>
      <c r="C769" s="40"/>
      <c r="D769" s="40"/>
      <c r="E769" s="41"/>
      <c r="F769" s="41"/>
      <c r="G769" s="40"/>
      <c r="H769" s="40"/>
      <c r="I769" s="40"/>
      <c r="J769" s="40"/>
      <c r="K769" s="40"/>
      <c r="L769" s="40"/>
    </row>
    <row r="770" spans="1:12" ht="15.75" customHeight="1" x14ac:dyDescent="0.25">
      <c r="A770" s="40"/>
      <c r="B770" s="40"/>
      <c r="C770" s="40"/>
      <c r="D770" s="40"/>
      <c r="E770" s="41"/>
      <c r="F770" s="41"/>
      <c r="G770" s="40"/>
      <c r="H770" s="40"/>
      <c r="I770" s="40"/>
      <c r="J770" s="40"/>
      <c r="K770" s="40"/>
      <c r="L770" s="40"/>
    </row>
    <row r="771" spans="1:12" ht="15.75" customHeight="1" x14ac:dyDescent="0.25">
      <c r="A771" s="40"/>
      <c r="B771" s="40"/>
      <c r="C771" s="40"/>
      <c r="D771" s="40"/>
      <c r="E771" s="41"/>
      <c r="F771" s="41"/>
      <c r="G771" s="40"/>
      <c r="H771" s="40"/>
      <c r="I771" s="40"/>
      <c r="J771" s="40"/>
      <c r="K771" s="40"/>
      <c r="L771" s="40"/>
    </row>
    <row r="772" spans="1:12" ht="15.75" customHeight="1" x14ac:dyDescent="0.25">
      <c r="A772" s="40"/>
      <c r="B772" s="40"/>
      <c r="C772" s="40"/>
      <c r="D772" s="40"/>
      <c r="E772" s="41"/>
      <c r="F772" s="41"/>
      <c r="G772" s="40"/>
      <c r="H772" s="40"/>
      <c r="I772" s="40"/>
      <c r="J772" s="40"/>
      <c r="K772" s="40"/>
      <c r="L772" s="40"/>
    </row>
    <row r="773" spans="1:12" ht="15.75" customHeight="1" x14ac:dyDescent="0.25">
      <c r="A773" s="40"/>
      <c r="B773" s="40"/>
      <c r="C773" s="40"/>
      <c r="D773" s="40"/>
      <c r="E773" s="41"/>
      <c r="F773" s="41"/>
      <c r="G773" s="40"/>
      <c r="H773" s="40"/>
      <c r="I773" s="40"/>
      <c r="J773" s="40"/>
      <c r="K773" s="40"/>
      <c r="L773" s="40"/>
    </row>
    <row r="774" spans="1:12" ht="15.75" customHeight="1" x14ac:dyDescent="0.25">
      <c r="A774" s="40"/>
      <c r="B774" s="40"/>
      <c r="C774" s="40"/>
      <c r="D774" s="40"/>
      <c r="E774" s="41"/>
      <c r="F774" s="41"/>
      <c r="G774" s="40"/>
      <c r="H774" s="40"/>
      <c r="I774" s="40"/>
      <c r="J774" s="40"/>
      <c r="K774" s="40"/>
      <c r="L774" s="40"/>
    </row>
    <row r="775" spans="1:12" ht="15.75" customHeight="1" x14ac:dyDescent="0.25">
      <c r="A775" s="40"/>
      <c r="B775" s="40"/>
      <c r="C775" s="40"/>
      <c r="D775" s="40"/>
      <c r="E775" s="41"/>
      <c r="F775" s="41"/>
      <c r="G775" s="40"/>
      <c r="H775" s="40"/>
      <c r="I775" s="40"/>
      <c r="J775" s="40"/>
      <c r="K775" s="40"/>
      <c r="L775" s="40"/>
    </row>
    <row r="776" spans="1:12" ht="15.75" customHeight="1" x14ac:dyDescent="0.25">
      <c r="A776" s="40"/>
      <c r="B776" s="40"/>
      <c r="C776" s="40"/>
      <c r="D776" s="40"/>
      <c r="E776" s="41"/>
      <c r="F776" s="41"/>
      <c r="G776" s="40"/>
      <c r="H776" s="40"/>
      <c r="I776" s="40"/>
      <c r="J776" s="40"/>
      <c r="K776" s="40"/>
      <c r="L776" s="40"/>
    </row>
    <row r="777" spans="1:12" ht="15.75" customHeight="1" x14ac:dyDescent="0.25">
      <c r="A777" s="40"/>
      <c r="B777" s="40"/>
      <c r="C777" s="40"/>
      <c r="D777" s="40"/>
      <c r="E777" s="41"/>
      <c r="F777" s="41"/>
      <c r="G777" s="40"/>
      <c r="H777" s="40"/>
      <c r="I777" s="40"/>
      <c r="J777" s="40"/>
      <c r="K777" s="40"/>
      <c r="L777" s="40"/>
    </row>
    <row r="778" spans="1:12" ht="15.75" customHeight="1" x14ac:dyDescent="0.25">
      <c r="A778" s="40"/>
      <c r="B778" s="40"/>
      <c r="C778" s="40"/>
      <c r="D778" s="40"/>
      <c r="E778" s="41"/>
      <c r="F778" s="41"/>
      <c r="G778" s="40"/>
      <c r="H778" s="40"/>
      <c r="I778" s="40"/>
      <c r="J778" s="40"/>
      <c r="K778" s="40"/>
      <c r="L778" s="40"/>
    </row>
    <row r="779" spans="1:12" ht="15.75" customHeight="1" x14ac:dyDescent="0.25">
      <c r="A779" s="40"/>
      <c r="B779" s="40"/>
      <c r="C779" s="40"/>
      <c r="D779" s="40"/>
      <c r="E779" s="41"/>
      <c r="F779" s="41"/>
      <c r="G779" s="40"/>
      <c r="H779" s="40"/>
      <c r="I779" s="40"/>
      <c r="J779" s="40"/>
      <c r="K779" s="40"/>
      <c r="L779" s="40"/>
    </row>
    <row r="780" spans="1:12" ht="15.75" customHeight="1" x14ac:dyDescent="0.25">
      <c r="A780" s="40"/>
      <c r="B780" s="40"/>
      <c r="C780" s="40"/>
      <c r="D780" s="40"/>
      <c r="E780" s="41"/>
      <c r="F780" s="41"/>
      <c r="G780" s="40"/>
      <c r="H780" s="40"/>
      <c r="I780" s="40"/>
      <c r="J780" s="40"/>
      <c r="K780" s="40"/>
      <c r="L780" s="40"/>
    </row>
    <row r="781" spans="1:12" ht="15.75" customHeight="1" x14ac:dyDescent="0.25">
      <c r="A781" s="40"/>
      <c r="B781" s="40"/>
      <c r="C781" s="40"/>
      <c r="D781" s="40"/>
      <c r="E781" s="41"/>
      <c r="F781" s="41"/>
      <c r="G781" s="40"/>
      <c r="H781" s="40"/>
      <c r="I781" s="40"/>
      <c r="J781" s="40"/>
      <c r="K781" s="40"/>
      <c r="L781" s="40"/>
    </row>
    <row r="782" spans="1:12" ht="15.75" customHeight="1" x14ac:dyDescent="0.25">
      <c r="A782" s="40"/>
      <c r="B782" s="40"/>
      <c r="C782" s="40"/>
      <c r="D782" s="40"/>
      <c r="E782" s="41"/>
      <c r="F782" s="41"/>
      <c r="G782" s="40"/>
      <c r="H782" s="40"/>
      <c r="I782" s="40"/>
      <c r="J782" s="40"/>
      <c r="K782" s="40"/>
      <c r="L782" s="40"/>
    </row>
    <row r="783" spans="1:12" ht="15.75" customHeight="1" x14ac:dyDescent="0.25">
      <c r="A783" s="40"/>
      <c r="B783" s="40"/>
      <c r="C783" s="40"/>
      <c r="D783" s="40"/>
      <c r="E783" s="41"/>
      <c r="F783" s="41"/>
      <c r="G783" s="40"/>
      <c r="H783" s="40"/>
      <c r="I783" s="40"/>
      <c r="J783" s="40"/>
      <c r="K783" s="40"/>
      <c r="L783" s="40"/>
    </row>
    <row r="784" spans="1:12" ht="15.75" customHeight="1" x14ac:dyDescent="0.25">
      <c r="A784" s="40"/>
      <c r="B784" s="40"/>
      <c r="C784" s="40"/>
      <c r="D784" s="40"/>
      <c r="E784" s="41"/>
      <c r="F784" s="41"/>
      <c r="G784" s="40"/>
      <c r="H784" s="40"/>
      <c r="I784" s="40"/>
      <c r="J784" s="40"/>
      <c r="K784" s="40"/>
      <c r="L784" s="40"/>
    </row>
    <row r="785" spans="1:12" ht="15.75" customHeight="1" x14ac:dyDescent="0.25">
      <c r="A785" s="40"/>
      <c r="B785" s="40"/>
      <c r="C785" s="40"/>
      <c r="D785" s="40"/>
      <c r="E785" s="41"/>
      <c r="F785" s="41"/>
      <c r="G785" s="40"/>
      <c r="H785" s="40"/>
      <c r="I785" s="40"/>
      <c r="J785" s="40"/>
      <c r="K785" s="40"/>
      <c r="L785" s="40"/>
    </row>
    <row r="786" spans="1:12" ht="15.75" customHeight="1" x14ac:dyDescent="0.25">
      <c r="A786" s="40"/>
      <c r="B786" s="40"/>
      <c r="C786" s="40"/>
      <c r="D786" s="40"/>
      <c r="E786" s="41"/>
      <c r="F786" s="41"/>
      <c r="G786" s="40"/>
      <c r="H786" s="40"/>
      <c r="I786" s="40"/>
      <c r="J786" s="40"/>
      <c r="K786" s="40"/>
      <c r="L786" s="40"/>
    </row>
    <row r="787" spans="1:12" ht="15.75" customHeight="1" x14ac:dyDescent="0.25">
      <c r="A787" s="40"/>
      <c r="B787" s="40"/>
      <c r="C787" s="40"/>
      <c r="D787" s="40"/>
      <c r="E787" s="41"/>
      <c r="F787" s="41"/>
      <c r="G787" s="40"/>
      <c r="H787" s="40"/>
      <c r="I787" s="40"/>
      <c r="J787" s="40"/>
      <c r="K787" s="40"/>
      <c r="L787" s="40"/>
    </row>
    <row r="788" spans="1:12" ht="15.75" customHeight="1" x14ac:dyDescent="0.25">
      <c r="A788" s="40"/>
      <c r="B788" s="40"/>
      <c r="C788" s="40"/>
      <c r="D788" s="40"/>
      <c r="E788" s="41"/>
      <c r="F788" s="41"/>
      <c r="G788" s="40"/>
      <c r="H788" s="40"/>
      <c r="I788" s="40"/>
      <c r="J788" s="40"/>
      <c r="K788" s="40"/>
      <c r="L788" s="40"/>
    </row>
    <row r="789" spans="1:12" ht="15.75" customHeight="1" x14ac:dyDescent="0.25">
      <c r="A789" s="40"/>
      <c r="B789" s="40"/>
      <c r="C789" s="40"/>
      <c r="D789" s="40"/>
      <c r="E789" s="41"/>
      <c r="F789" s="41"/>
      <c r="G789" s="40"/>
      <c r="H789" s="40"/>
      <c r="I789" s="40"/>
      <c r="J789" s="40"/>
      <c r="K789" s="40"/>
      <c r="L789" s="40"/>
    </row>
    <row r="790" spans="1:12" ht="15.75" customHeight="1" x14ac:dyDescent="0.25">
      <c r="A790" s="40"/>
      <c r="B790" s="40"/>
      <c r="C790" s="40"/>
      <c r="D790" s="40"/>
      <c r="E790" s="41"/>
      <c r="F790" s="41"/>
      <c r="G790" s="40"/>
      <c r="H790" s="40"/>
      <c r="I790" s="40"/>
      <c r="J790" s="40"/>
      <c r="K790" s="40"/>
      <c r="L790" s="40"/>
    </row>
    <row r="791" spans="1:12" ht="15.75" customHeight="1" x14ac:dyDescent="0.25">
      <c r="A791" s="40"/>
      <c r="B791" s="40"/>
      <c r="C791" s="40"/>
      <c r="D791" s="40"/>
      <c r="E791" s="41"/>
      <c r="F791" s="41"/>
      <c r="G791" s="40"/>
      <c r="H791" s="40"/>
      <c r="I791" s="40"/>
      <c r="J791" s="40"/>
      <c r="K791" s="40"/>
      <c r="L791" s="40"/>
    </row>
    <row r="792" spans="1:12" ht="15.75" customHeight="1" x14ac:dyDescent="0.25">
      <c r="A792" s="40"/>
      <c r="B792" s="40"/>
      <c r="C792" s="40"/>
      <c r="D792" s="40"/>
      <c r="E792" s="41"/>
      <c r="F792" s="41"/>
      <c r="G792" s="40"/>
      <c r="H792" s="40"/>
      <c r="I792" s="40"/>
      <c r="J792" s="40"/>
      <c r="K792" s="40"/>
      <c r="L792" s="40"/>
    </row>
    <row r="793" spans="1:12" ht="15.75" customHeight="1" x14ac:dyDescent="0.25">
      <c r="A793" s="40"/>
      <c r="B793" s="40"/>
      <c r="C793" s="40"/>
      <c r="D793" s="40"/>
      <c r="E793" s="41"/>
      <c r="F793" s="41"/>
      <c r="G793" s="40"/>
      <c r="H793" s="40"/>
      <c r="I793" s="40"/>
      <c r="J793" s="40"/>
      <c r="K793" s="40"/>
      <c r="L793" s="40"/>
    </row>
    <row r="794" spans="1:12" ht="15.75" customHeight="1" x14ac:dyDescent="0.25">
      <c r="A794" s="40"/>
      <c r="B794" s="40"/>
      <c r="C794" s="40"/>
      <c r="D794" s="40"/>
      <c r="E794" s="41"/>
      <c r="F794" s="41"/>
      <c r="G794" s="40"/>
      <c r="H794" s="40"/>
      <c r="I794" s="40"/>
      <c r="J794" s="40"/>
      <c r="K794" s="40"/>
      <c r="L794" s="40"/>
    </row>
    <row r="795" spans="1:12" ht="15.75" customHeight="1" x14ac:dyDescent="0.25">
      <c r="A795" s="40"/>
      <c r="B795" s="40"/>
      <c r="C795" s="40"/>
      <c r="D795" s="40"/>
      <c r="E795" s="41"/>
      <c r="F795" s="41"/>
      <c r="G795" s="40"/>
      <c r="H795" s="40"/>
      <c r="I795" s="40"/>
      <c r="J795" s="40"/>
      <c r="K795" s="40"/>
      <c r="L795" s="40"/>
    </row>
    <row r="796" spans="1:12" ht="15.75" customHeight="1" x14ac:dyDescent="0.25">
      <c r="A796" s="40"/>
      <c r="B796" s="40"/>
      <c r="C796" s="40"/>
      <c r="D796" s="40"/>
      <c r="E796" s="41"/>
      <c r="F796" s="41"/>
      <c r="G796" s="40"/>
      <c r="H796" s="40"/>
      <c r="I796" s="40"/>
      <c r="J796" s="40"/>
      <c r="K796" s="40"/>
      <c r="L796" s="40"/>
    </row>
    <row r="797" spans="1:12" ht="15.75" customHeight="1" x14ac:dyDescent="0.25">
      <c r="A797" s="40"/>
      <c r="B797" s="40"/>
      <c r="C797" s="40"/>
      <c r="D797" s="40"/>
      <c r="E797" s="41"/>
      <c r="F797" s="41"/>
      <c r="G797" s="40"/>
      <c r="H797" s="40"/>
      <c r="I797" s="40"/>
      <c r="J797" s="40"/>
      <c r="K797" s="40"/>
      <c r="L797" s="40"/>
    </row>
    <row r="798" spans="1:12" ht="15.75" customHeight="1" x14ac:dyDescent="0.25">
      <c r="A798" s="40"/>
      <c r="B798" s="40"/>
      <c r="C798" s="40"/>
      <c r="D798" s="40"/>
      <c r="E798" s="41"/>
      <c r="F798" s="41"/>
      <c r="G798" s="40"/>
      <c r="H798" s="40"/>
      <c r="I798" s="40"/>
      <c r="J798" s="40"/>
      <c r="K798" s="40"/>
      <c r="L798" s="40"/>
    </row>
    <row r="799" spans="1:12" ht="15.75" customHeight="1" x14ac:dyDescent="0.25">
      <c r="A799" s="40"/>
      <c r="B799" s="40"/>
      <c r="C799" s="40"/>
      <c r="D799" s="40"/>
      <c r="E799" s="41"/>
      <c r="F799" s="41"/>
      <c r="G799" s="40"/>
      <c r="H799" s="40"/>
      <c r="I799" s="40"/>
      <c r="J799" s="40"/>
      <c r="K799" s="40"/>
      <c r="L799" s="40"/>
    </row>
    <row r="800" spans="1:12" ht="15.75" customHeight="1" x14ac:dyDescent="0.25">
      <c r="A800" s="40"/>
      <c r="B800" s="40"/>
      <c r="C800" s="40"/>
      <c r="D800" s="40"/>
      <c r="E800" s="41"/>
      <c r="F800" s="41"/>
      <c r="G800" s="40"/>
      <c r="H800" s="40"/>
      <c r="I800" s="40"/>
      <c r="J800" s="40"/>
      <c r="K800" s="40"/>
      <c r="L800" s="40"/>
    </row>
    <row r="801" spans="1:12" ht="15.75" customHeight="1" x14ac:dyDescent="0.25">
      <c r="A801" s="40"/>
      <c r="B801" s="40"/>
      <c r="C801" s="40"/>
      <c r="D801" s="40"/>
      <c r="E801" s="41"/>
      <c r="F801" s="41"/>
      <c r="G801" s="40"/>
      <c r="H801" s="40"/>
      <c r="I801" s="40"/>
      <c r="J801" s="40"/>
      <c r="K801" s="40"/>
      <c r="L801" s="40"/>
    </row>
    <row r="802" spans="1:12" ht="15.75" customHeight="1" x14ac:dyDescent="0.25">
      <c r="A802" s="40"/>
      <c r="B802" s="40"/>
      <c r="C802" s="40"/>
      <c r="D802" s="40"/>
      <c r="E802" s="41"/>
      <c r="F802" s="41"/>
      <c r="G802" s="40"/>
      <c r="H802" s="40"/>
      <c r="I802" s="40"/>
      <c r="J802" s="40"/>
      <c r="K802" s="40"/>
      <c r="L802" s="40"/>
    </row>
    <row r="803" spans="1:12" ht="15.75" customHeight="1" x14ac:dyDescent="0.25">
      <c r="A803" s="40"/>
      <c r="B803" s="40"/>
      <c r="C803" s="40"/>
      <c r="D803" s="40"/>
      <c r="E803" s="41"/>
      <c r="F803" s="41"/>
      <c r="G803" s="40"/>
      <c r="H803" s="40"/>
      <c r="I803" s="40"/>
      <c r="J803" s="40"/>
      <c r="K803" s="40"/>
      <c r="L803" s="40"/>
    </row>
    <row r="804" spans="1:12" ht="15.75" customHeight="1" x14ac:dyDescent="0.25">
      <c r="A804" s="40"/>
      <c r="B804" s="40"/>
      <c r="C804" s="40"/>
      <c r="D804" s="40"/>
      <c r="E804" s="41"/>
      <c r="F804" s="41"/>
      <c r="G804" s="40"/>
      <c r="H804" s="40"/>
      <c r="I804" s="40"/>
      <c r="J804" s="40"/>
      <c r="K804" s="40"/>
      <c r="L804" s="40"/>
    </row>
    <row r="805" spans="1:12" ht="15.75" customHeight="1" x14ac:dyDescent="0.25">
      <c r="A805" s="40"/>
      <c r="B805" s="40"/>
      <c r="C805" s="40"/>
      <c r="D805" s="40"/>
      <c r="E805" s="41"/>
      <c r="F805" s="41"/>
      <c r="G805" s="40"/>
      <c r="H805" s="40"/>
      <c r="I805" s="40"/>
      <c r="J805" s="40"/>
      <c r="K805" s="40"/>
      <c r="L805" s="40"/>
    </row>
    <row r="806" spans="1:12" ht="15.75" customHeight="1" x14ac:dyDescent="0.25">
      <c r="A806" s="40"/>
      <c r="B806" s="40"/>
      <c r="C806" s="40"/>
      <c r="D806" s="40"/>
      <c r="E806" s="41"/>
      <c r="F806" s="41"/>
      <c r="G806" s="40"/>
      <c r="H806" s="40"/>
      <c r="I806" s="40"/>
      <c r="J806" s="40"/>
      <c r="K806" s="40"/>
      <c r="L806" s="40"/>
    </row>
    <row r="807" spans="1:12" ht="15.75" customHeight="1" x14ac:dyDescent="0.25">
      <c r="A807" s="40"/>
      <c r="B807" s="40"/>
      <c r="C807" s="40"/>
      <c r="D807" s="40"/>
      <c r="E807" s="41"/>
      <c r="F807" s="41"/>
      <c r="G807" s="40"/>
      <c r="H807" s="40"/>
      <c r="I807" s="40"/>
      <c r="J807" s="40"/>
      <c r="K807" s="40"/>
      <c r="L807" s="40"/>
    </row>
    <row r="808" spans="1:12" ht="15.75" customHeight="1" x14ac:dyDescent="0.25">
      <c r="A808" s="40"/>
      <c r="B808" s="40"/>
      <c r="C808" s="40"/>
      <c r="D808" s="40"/>
      <c r="E808" s="41"/>
      <c r="F808" s="41"/>
      <c r="G808" s="40"/>
      <c r="H808" s="40"/>
      <c r="I808" s="40"/>
      <c r="J808" s="40"/>
      <c r="K808" s="40"/>
      <c r="L808" s="40"/>
    </row>
    <row r="809" spans="1:12" ht="15.75" customHeight="1" x14ac:dyDescent="0.25">
      <c r="A809" s="40"/>
      <c r="B809" s="40"/>
      <c r="C809" s="40"/>
      <c r="D809" s="40"/>
      <c r="E809" s="41"/>
      <c r="F809" s="41"/>
      <c r="G809" s="40"/>
      <c r="H809" s="40"/>
      <c r="I809" s="40"/>
      <c r="J809" s="40"/>
      <c r="K809" s="40"/>
      <c r="L809" s="40"/>
    </row>
    <row r="810" spans="1:12" ht="15.75" customHeight="1" x14ac:dyDescent="0.25">
      <c r="A810" s="40"/>
      <c r="B810" s="40"/>
      <c r="C810" s="40"/>
      <c r="D810" s="40"/>
      <c r="E810" s="41"/>
      <c r="F810" s="41"/>
      <c r="G810" s="40"/>
      <c r="H810" s="40"/>
      <c r="I810" s="40"/>
      <c r="J810" s="40"/>
      <c r="K810" s="40"/>
      <c r="L810" s="40"/>
    </row>
    <row r="811" spans="1:12" ht="15.75" customHeight="1" x14ac:dyDescent="0.25">
      <c r="A811" s="40"/>
      <c r="B811" s="40"/>
      <c r="C811" s="40"/>
      <c r="D811" s="40"/>
      <c r="E811" s="41"/>
      <c r="F811" s="41"/>
      <c r="G811" s="40"/>
      <c r="H811" s="40"/>
      <c r="I811" s="40"/>
      <c r="J811" s="40"/>
      <c r="K811" s="40"/>
      <c r="L811" s="40"/>
    </row>
    <row r="812" spans="1:12" ht="15.75" customHeight="1" x14ac:dyDescent="0.25">
      <c r="A812" s="40"/>
      <c r="B812" s="40"/>
      <c r="C812" s="40"/>
      <c r="D812" s="40"/>
      <c r="E812" s="41"/>
      <c r="F812" s="41"/>
      <c r="G812" s="40"/>
      <c r="H812" s="40"/>
      <c r="I812" s="40"/>
      <c r="J812" s="40"/>
      <c r="K812" s="40"/>
      <c r="L812" s="40"/>
    </row>
    <row r="813" spans="1:12" ht="15.75" customHeight="1" x14ac:dyDescent="0.25">
      <c r="A813" s="40"/>
      <c r="B813" s="40"/>
      <c r="C813" s="40"/>
      <c r="D813" s="40"/>
      <c r="E813" s="41"/>
      <c r="F813" s="41"/>
      <c r="G813" s="40"/>
      <c r="H813" s="40"/>
      <c r="I813" s="40"/>
      <c r="J813" s="40"/>
      <c r="K813" s="40"/>
      <c r="L813" s="40"/>
    </row>
    <row r="814" spans="1:12" ht="15.75" customHeight="1" x14ac:dyDescent="0.25">
      <c r="A814" s="40"/>
      <c r="B814" s="40"/>
      <c r="C814" s="40"/>
      <c r="D814" s="40"/>
      <c r="E814" s="41"/>
      <c r="F814" s="41"/>
      <c r="G814" s="40"/>
      <c r="H814" s="40"/>
      <c r="I814" s="40"/>
      <c r="J814" s="40"/>
      <c r="K814" s="40"/>
      <c r="L814" s="40"/>
    </row>
    <row r="815" spans="1:12" ht="15.75" customHeight="1" x14ac:dyDescent="0.25">
      <c r="A815" s="40"/>
      <c r="B815" s="40"/>
      <c r="C815" s="40"/>
      <c r="D815" s="40"/>
      <c r="E815" s="41"/>
      <c r="F815" s="41"/>
      <c r="G815" s="40"/>
      <c r="H815" s="40"/>
      <c r="I815" s="40"/>
      <c r="J815" s="40"/>
      <c r="K815" s="40"/>
      <c r="L815" s="40"/>
    </row>
    <row r="816" spans="1:12" ht="15.75" customHeight="1" x14ac:dyDescent="0.25">
      <c r="A816" s="40"/>
      <c r="B816" s="40"/>
      <c r="C816" s="40"/>
      <c r="D816" s="40"/>
      <c r="E816" s="41"/>
      <c r="F816" s="41"/>
      <c r="G816" s="40"/>
      <c r="H816" s="40"/>
      <c r="I816" s="40"/>
      <c r="J816" s="40"/>
      <c r="K816" s="40"/>
      <c r="L816" s="40"/>
    </row>
    <row r="817" spans="1:12" ht="15.75" customHeight="1" x14ac:dyDescent="0.25">
      <c r="A817" s="40"/>
      <c r="B817" s="40"/>
      <c r="C817" s="40"/>
      <c r="D817" s="40"/>
      <c r="E817" s="41"/>
      <c r="F817" s="41"/>
      <c r="G817" s="40"/>
      <c r="H817" s="40"/>
      <c r="I817" s="40"/>
      <c r="J817" s="40"/>
      <c r="K817" s="40"/>
      <c r="L817" s="40"/>
    </row>
    <row r="818" spans="1:12" ht="15.75" customHeight="1" x14ac:dyDescent="0.25">
      <c r="A818" s="40"/>
      <c r="B818" s="40"/>
      <c r="C818" s="40"/>
      <c r="D818" s="40"/>
      <c r="E818" s="41"/>
      <c r="F818" s="41"/>
      <c r="G818" s="40"/>
      <c r="H818" s="40"/>
      <c r="I818" s="40"/>
      <c r="J818" s="40"/>
      <c r="K818" s="40"/>
      <c r="L818" s="40"/>
    </row>
    <row r="819" spans="1:12" ht="15.75" customHeight="1" x14ac:dyDescent="0.25">
      <c r="A819" s="40"/>
      <c r="B819" s="40"/>
      <c r="C819" s="40"/>
      <c r="D819" s="40"/>
      <c r="E819" s="41"/>
      <c r="F819" s="41"/>
      <c r="G819" s="40"/>
      <c r="H819" s="40"/>
      <c r="I819" s="40"/>
      <c r="J819" s="40"/>
      <c r="K819" s="40"/>
      <c r="L819" s="40"/>
    </row>
    <row r="820" spans="1:12" ht="15.75" customHeight="1" x14ac:dyDescent="0.25">
      <c r="A820" s="40"/>
      <c r="B820" s="40"/>
      <c r="C820" s="40"/>
      <c r="D820" s="40"/>
      <c r="E820" s="41"/>
      <c r="F820" s="41"/>
      <c r="G820" s="40"/>
      <c r="H820" s="40"/>
      <c r="I820" s="40"/>
      <c r="J820" s="40"/>
      <c r="K820" s="40"/>
      <c r="L820" s="40"/>
    </row>
    <row r="821" spans="1:12" ht="15.75" customHeight="1" x14ac:dyDescent="0.25">
      <c r="A821" s="40"/>
      <c r="B821" s="40"/>
      <c r="C821" s="40"/>
      <c r="D821" s="40"/>
      <c r="E821" s="41"/>
      <c r="F821" s="41"/>
      <c r="G821" s="40"/>
      <c r="H821" s="40"/>
      <c r="I821" s="40"/>
      <c r="J821" s="40"/>
      <c r="K821" s="40"/>
      <c r="L821" s="40"/>
    </row>
    <row r="822" spans="1:12" ht="15.75" customHeight="1" x14ac:dyDescent="0.25">
      <c r="A822" s="40"/>
      <c r="B822" s="40"/>
      <c r="C822" s="40"/>
      <c r="D822" s="40"/>
      <c r="E822" s="41"/>
      <c r="F822" s="41"/>
      <c r="G822" s="40"/>
      <c r="H822" s="40"/>
      <c r="I822" s="40"/>
      <c r="J822" s="40"/>
      <c r="K822" s="40"/>
      <c r="L822" s="40"/>
    </row>
    <row r="823" spans="1:12" ht="15.75" customHeight="1" x14ac:dyDescent="0.25">
      <c r="A823" s="40"/>
      <c r="B823" s="40"/>
      <c r="C823" s="40"/>
      <c r="D823" s="40"/>
      <c r="E823" s="41"/>
      <c r="F823" s="41"/>
      <c r="G823" s="40"/>
      <c r="H823" s="40"/>
      <c r="I823" s="40"/>
      <c r="J823" s="40"/>
      <c r="K823" s="40"/>
      <c r="L823" s="40"/>
    </row>
    <row r="824" spans="1:12" ht="15.75" customHeight="1" x14ac:dyDescent="0.25">
      <c r="A824" s="40"/>
      <c r="B824" s="40"/>
      <c r="C824" s="40"/>
      <c r="D824" s="40"/>
      <c r="E824" s="41"/>
      <c r="F824" s="41"/>
      <c r="G824" s="40"/>
      <c r="H824" s="40"/>
      <c r="I824" s="40"/>
      <c r="J824" s="40"/>
      <c r="K824" s="40"/>
      <c r="L824" s="40"/>
    </row>
    <row r="825" spans="1:12" ht="15.75" customHeight="1" x14ac:dyDescent="0.25">
      <c r="A825" s="40"/>
      <c r="B825" s="40"/>
      <c r="C825" s="40"/>
      <c r="D825" s="40"/>
      <c r="E825" s="41"/>
      <c r="F825" s="41"/>
      <c r="G825" s="40"/>
      <c r="H825" s="40"/>
      <c r="I825" s="40"/>
      <c r="J825" s="40"/>
      <c r="K825" s="40"/>
      <c r="L825" s="40"/>
    </row>
    <row r="826" spans="1:12" ht="15.75" customHeight="1" x14ac:dyDescent="0.25">
      <c r="A826" s="40"/>
      <c r="B826" s="40"/>
      <c r="C826" s="40"/>
      <c r="D826" s="40"/>
      <c r="E826" s="41"/>
      <c r="F826" s="41"/>
      <c r="G826" s="40"/>
      <c r="H826" s="40"/>
      <c r="I826" s="40"/>
      <c r="J826" s="40"/>
      <c r="K826" s="40"/>
      <c r="L826" s="40"/>
    </row>
    <row r="827" spans="1:12" ht="15.75" customHeight="1" x14ac:dyDescent="0.25">
      <c r="A827" s="40"/>
      <c r="B827" s="40"/>
      <c r="C827" s="40"/>
      <c r="D827" s="40"/>
      <c r="E827" s="41"/>
      <c r="F827" s="41"/>
      <c r="G827" s="40"/>
      <c r="H827" s="40"/>
      <c r="I827" s="40"/>
      <c r="J827" s="40"/>
      <c r="K827" s="40"/>
      <c r="L827" s="40"/>
    </row>
    <row r="828" spans="1:12" ht="15.75" customHeight="1" x14ac:dyDescent="0.25">
      <c r="A828" s="40"/>
      <c r="B828" s="40"/>
      <c r="C828" s="40"/>
      <c r="D828" s="40"/>
      <c r="E828" s="41"/>
      <c r="F828" s="41"/>
      <c r="G828" s="40"/>
      <c r="H828" s="40"/>
      <c r="I828" s="40"/>
      <c r="J828" s="40"/>
      <c r="K828" s="40"/>
      <c r="L828" s="40"/>
    </row>
    <row r="829" spans="1:12" ht="15.75" customHeight="1" x14ac:dyDescent="0.25">
      <c r="A829" s="40"/>
      <c r="B829" s="40"/>
      <c r="C829" s="40"/>
      <c r="D829" s="40"/>
      <c r="E829" s="41"/>
      <c r="F829" s="41"/>
      <c r="G829" s="40"/>
      <c r="H829" s="40"/>
      <c r="I829" s="40"/>
      <c r="J829" s="40"/>
      <c r="K829" s="40"/>
      <c r="L829" s="40"/>
    </row>
    <row r="830" spans="1:12" ht="15.75" customHeight="1" x14ac:dyDescent="0.25">
      <c r="A830" s="40"/>
      <c r="B830" s="40"/>
      <c r="C830" s="40"/>
      <c r="D830" s="40"/>
      <c r="E830" s="41"/>
      <c r="F830" s="41"/>
      <c r="G830" s="40"/>
      <c r="H830" s="40"/>
      <c r="I830" s="40"/>
      <c r="J830" s="40"/>
      <c r="K830" s="40"/>
      <c r="L830" s="40"/>
    </row>
    <row r="831" spans="1:12" ht="15.75" customHeight="1" x14ac:dyDescent="0.25">
      <c r="A831" s="40"/>
      <c r="B831" s="40"/>
      <c r="C831" s="40"/>
      <c r="D831" s="40"/>
      <c r="E831" s="41"/>
      <c r="F831" s="41"/>
      <c r="G831" s="40"/>
      <c r="H831" s="40"/>
      <c r="I831" s="40"/>
      <c r="J831" s="40"/>
      <c r="K831" s="40"/>
      <c r="L831" s="40"/>
    </row>
    <row r="832" spans="1:12" ht="15.75" customHeight="1" x14ac:dyDescent="0.25">
      <c r="A832" s="40"/>
      <c r="B832" s="40"/>
      <c r="C832" s="40"/>
      <c r="D832" s="40"/>
      <c r="E832" s="41"/>
      <c r="F832" s="41"/>
      <c r="G832" s="40"/>
      <c r="H832" s="40"/>
      <c r="I832" s="40"/>
      <c r="J832" s="40"/>
      <c r="K832" s="40"/>
      <c r="L832" s="40"/>
    </row>
    <row r="833" spans="1:12" ht="15.75" customHeight="1" x14ac:dyDescent="0.25">
      <c r="A833" s="40"/>
      <c r="B833" s="40"/>
      <c r="C833" s="40"/>
      <c r="D833" s="40"/>
      <c r="E833" s="41"/>
      <c r="F833" s="41"/>
      <c r="G833" s="40"/>
      <c r="H833" s="40"/>
      <c r="I833" s="40"/>
      <c r="J833" s="40"/>
      <c r="K833" s="40"/>
      <c r="L833" s="40"/>
    </row>
    <row r="834" spans="1:12" ht="15.75" customHeight="1" x14ac:dyDescent="0.25">
      <c r="A834" s="40"/>
      <c r="B834" s="40"/>
      <c r="C834" s="40"/>
      <c r="D834" s="40"/>
      <c r="E834" s="41"/>
      <c r="F834" s="41"/>
      <c r="G834" s="40"/>
      <c r="H834" s="40"/>
      <c r="I834" s="40"/>
      <c r="J834" s="40"/>
      <c r="K834" s="40"/>
      <c r="L834" s="40"/>
    </row>
    <row r="835" spans="1:12" ht="15.75" customHeight="1" x14ac:dyDescent="0.25">
      <c r="A835" s="40"/>
      <c r="B835" s="40"/>
      <c r="C835" s="40"/>
      <c r="D835" s="40"/>
      <c r="E835" s="41"/>
      <c r="F835" s="41"/>
      <c r="G835" s="40"/>
      <c r="H835" s="40"/>
      <c r="I835" s="40"/>
      <c r="J835" s="40"/>
      <c r="K835" s="40"/>
      <c r="L835" s="40"/>
    </row>
    <row r="836" spans="1:12" ht="15.75" customHeight="1" x14ac:dyDescent="0.25">
      <c r="A836" s="40"/>
      <c r="B836" s="40"/>
      <c r="C836" s="40"/>
      <c r="D836" s="40"/>
      <c r="E836" s="41"/>
      <c r="F836" s="41"/>
      <c r="G836" s="40"/>
      <c r="H836" s="40"/>
      <c r="I836" s="40"/>
      <c r="J836" s="40"/>
      <c r="K836" s="40"/>
      <c r="L836" s="40"/>
    </row>
    <row r="837" spans="1:12" ht="15.75" customHeight="1" x14ac:dyDescent="0.25">
      <c r="A837" s="40"/>
      <c r="B837" s="40"/>
      <c r="C837" s="40"/>
      <c r="D837" s="40"/>
      <c r="E837" s="41"/>
      <c r="F837" s="41"/>
      <c r="G837" s="40"/>
      <c r="H837" s="40"/>
      <c r="I837" s="40"/>
      <c r="J837" s="40"/>
      <c r="K837" s="40"/>
      <c r="L837" s="40"/>
    </row>
    <row r="838" spans="1:12" ht="15.75" customHeight="1" x14ac:dyDescent="0.25">
      <c r="A838" s="40"/>
      <c r="B838" s="40"/>
      <c r="C838" s="40"/>
      <c r="D838" s="40"/>
      <c r="E838" s="41"/>
      <c r="F838" s="41"/>
      <c r="G838" s="40"/>
      <c r="H838" s="40"/>
      <c r="I838" s="40"/>
      <c r="J838" s="40"/>
      <c r="K838" s="40"/>
      <c r="L838" s="40"/>
    </row>
    <row r="839" spans="1:12" ht="15.75" customHeight="1" x14ac:dyDescent="0.25">
      <c r="A839" s="40"/>
      <c r="B839" s="40"/>
      <c r="C839" s="40"/>
      <c r="D839" s="40"/>
      <c r="E839" s="41"/>
      <c r="F839" s="41"/>
      <c r="G839" s="40"/>
      <c r="H839" s="40"/>
      <c r="I839" s="40"/>
      <c r="J839" s="40"/>
      <c r="K839" s="40"/>
      <c r="L839" s="40"/>
    </row>
    <row r="840" spans="1:12" ht="15.75" customHeight="1" x14ac:dyDescent="0.25">
      <c r="A840" s="40"/>
      <c r="B840" s="40"/>
      <c r="C840" s="40"/>
      <c r="D840" s="40"/>
      <c r="E840" s="41"/>
      <c r="F840" s="41"/>
      <c r="G840" s="40"/>
      <c r="H840" s="40"/>
      <c r="I840" s="40"/>
      <c r="J840" s="40"/>
      <c r="K840" s="40"/>
      <c r="L840" s="40"/>
    </row>
    <row r="841" spans="1:12" ht="15.75" customHeight="1" x14ac:dyDescent="0.25">
      <c r="A841" s="40"/>
      <c r="B841" s="40"/>
      <c r="C841" s="40"/>
      <c r="D841" s="40"/>
      <c r="E841" s="41"/>
      <c r="F841" s="41"/>
      <c r="G841" s="40"/>
      <c r="H841" s="40"/>
      <c r="I841" s="40"/>
      <c r="J841" s="40"/>
      <c r="K841" s="40"/>
      <c r="L841" s="40"/>
    </row>
    <row r="842" spans="1:12" ht="15.75" customHeight="1" x14ac:dyDescent="0.25">
      <c r="A842" s="40"/>
      <c r="B842" s="40"/>
      <c r="C842" s="40"/>
      <c r="D842" s="40"/>
      <c r="E842" s="41"/>
      <c r="F842" s="41"/>
      <c r="G842" s="40"/>
      <c r="H842" s="40"/>
      <c r="I842" s="40"/>
      <c r="J842" s="40"/>
      <c r="K842" s="40"/>
      <c r="L842" s="40"/>
    </row>
    <row r="843" spans="1:12" ht="15.75" customHeight="1" x14ac:dyDescent="0.25">
      <c r="A843" s="40"/>
      <c r="B843" s="40"/>
      <c r="C843" s="40"/>
      <c r="D843" s="40"/>
      <c r="E843" s="41"/>
      <c r="F843" s="41"/>
      <c r="G843" s="40"/>
      <c r="H843" s="40"/>
      <c r="I843" s="40"/>
      <c r="J843" s="40"/>
      <c r="K843" s="40"/>
      <c r="L843" s="40"/>
    </row>
    <row r="844" spans="1:12" ht="15.75" customHeight="1" x14ac:dyDescent="0.25">
      <c r="A844" s="40"/>
      <c r="B844" s="40"/>
      <c r="C844" s="40"/>
      <c r="D844" s="40"/>
      <c r="E844" s="41"/>
      <c r="F844" s="41"/>
      <c r="G844" s="40"/>
      <c r="H844" s="40"/>
      <c r="I844" s="40"/>
      <c r="J844" s="40"/>
      <c r="K844" s="40"/>
      <c r="L844" s="40"/>
    </row>
    <row r="845" spans="1:12" ht="15.75" customHeight="1" x14ac:dyDescent="0.25">
      <c r="A845" s="40"/>
      <c r="B845" s="40"/>
      <c r="C845" s="40"/>
      <c r="D845" s="40"/>
      <c r="E845" s="41"/>
      <c r="F845" s="41"/>
      <c r="G845" s="40"/>
      <c r="H845" s="40"/>
      <c r="I845" s="40"/>
      <c r="J845" s="40"/>
      <c r="K845" s="40"/>
      <c r="L845" s="40"/>
    </row>
    <row r="846" spans="1:12" ht="15.75" customHeight="1" x14ac:dyDescent="0.25">
      <c r="A846" s="40"/>
      <c r="B846" s="40"/>
      <c r="C846" s="40"/>
      <c r="D846" s="40"/>
      <c r="E846" s="41"/>
      <c r="F846" s="41"/>
      <c r="G846" s="40"/>
      <c r="H846" s="40"/>
      <c r="I846" s="40"/>
      <c r="J846" s="40"/>
      <c r="K846" s="40"/>
      <c r="L846" s="40"/>
    </row>
    <row r="847" spans="1:12" ht="15.75" customHeight="1" x14ac:dyDescent="0.25">
      <c r="A847" s="40"/>
      <c r="B847" s="40"/>
      <c r="C847" s="40"/>
      <c r="D847" s="40"/>
      <c r="E847" s="41"/>
      <c r="F847" s="41"/>
      <c r="G847" s="40"/>
      <c r="H847" s="40"/>
      <c r="I847" s="40"/>
      <c r="J847" s="40"/>
      <c r="K847" s="40"/>
      <c r="L847" s="40"/>
    </row>
    <row r="848" spans="1:12" ht="15.75" customHeight="1" x14ac:dyDescent="0.25">
      <c r="A848" s="40"/>
      <c r="B848" s="40"/>
      <c r="C848" s="40"/>
      <c r="D848" s="40"/>
      <c r="E848" s="41"/>
      <c r="F848" s="41"/>
      <c r="G848" s="40"/>
      <c r="H848" s="40"/>
      <c r="I848" s="40"/>
      <c r="J848" s="40"/>
      <c r="K848" s="40"/>
      <c r="L848" s="40"/>
    </row>
    <row r="849" spans="1:12" ht="15.75" customHeight="1" x14ac:dyDescent="0.25">
      <c r="A849" s="40"/>
      <c r="B849" s="40"/>
      <c r="C849" s="40"/>
      <c r="D849" s="40"/>
      <c r="E849" s="41"/>
      <c r="F849" s="41"/>
      <c r="G849" s="40"/>
      <c r="H849" s="40"/>
      <c r="I849" s="40"/>
      <c r="J849" s="40"/>
      <c r="K849" s="40"/>
      <c r="L849" s="40"/>
    </row>
    <row r="850" spans="1:12" ht="15.75" customHeight="1" x14ac:dyDescent="0.25">
      <c r="A850" s="40"/>
      <c r="B850" s="40"/>
      <c r="C850" s="40"/>
      <c r="D850" s="40"/>
      <c r="E850" s="41"/>
      <c r="F850" s="41"/>
      <c r="G850" s="40"/>
      <c r="H850" s="40"/>
      <c r="I850" s="40"/>
      <c r="J850" s="40"/>
      <c r="K850" s="40"/>
      <c r="L850" s="40"/>
    </row>
    <row r="851" spans="1:12" ht="15.75" customHeight="1" x14ac:dyDescent="0.25">
      <c r="A851" s="40"/>
      <c r="B851" s="40"/>
      <c r="C851" s="40"/>
      <c r="D851" s="40"/>
      <c r="E851" s="41"/>
      <c r="F851" s="41"/>
      <c r="G851" s="40"/>
      <c r="H851" s="40"/>
      <c r="I851" s="40"/>
      <c r="J851" s="40"/>
      <c r="K851" s="40"/>
      <c r="L851" s="40"/>
    </row>
    <row r="852" spans="1:12" ht="15.75" customHeight="1" x14ac:dyDescent="0.25">
      <c r="A852" s="40"/>
      <c r="B852" s="40"/>
      <c r="C852" s="40"/>
      <c r="D852" s="40"/>
      <c r="E852" s="41"/>
      <c r="F852" s="41"/>
      <c r="G852" s="40"/>
      <c r="H852" s="40"/>
      <c r="I852" s="40"/>
      <c r="J852" s="40"/>
      <c r="K852" s="40"/>
      <c r="L852" s="40"/>
    </row>
    <row r="853" spans="1:12" ht="15.75" customHeight="1" x14ac:dyDescent="0.25">
      <c r="A853" s="40"/>
      <c r="B853" s="40"/>
      <c r="C853" s="40"/>
      <c r="D853" s="40"/>
      <c r="E853" s="41"/>
      <c r="F853" s="41"/>
      <c r="G853" s="40"/>
      <c r="H853" s="40"/>
      <c r="I853" s="40"/>
      <c r="J853" s="40"/>
      <c r="K853" s="40"/>
      <c r="L853" s="40"/>
    </row>
    <row r="854" spans="1:12" ht="15.75" customHeight="1" x14ac:dyDescent="0.25">
      <c r="A854" s="40"/>
      <c r="B854" s="40"/>
      <c r="C854" s="40"/>
      <c r="D854" s="40"/>
      <c r="E854" s="41"/>
      <c r="F854" s="41"/>
      <c r="G854" s="40"/>
      <c r="H854" s="40"/>
      <c r="I854" s="40"/>
      <c r="J854" s="40"/>
      <c r="K854" s="40"/>
      <c r="L854" s="40"/>
    </row>
    <row r="855" spans="1:12" ht="15.75" customHeight="1" x14ac:dyDescent="0.25">
      <c r="A855" s="40"/>
      <c r="B855" s="40"/>
      <c r="C855" s="40"/>
      <c r="D855" s="40"/>
      <c r="E855" s="41"/>
      <c r="F855" s="41"/>
      <c r="G855" s="40"/>
      <c r="H855" s="40"/>
      <c r="I855" s="40"/>
      <c r="J855" s="40"/>
      <c r="K855" s="40"/>
      <c r="L855" s="40"/>
    </row>
    <row r="856" spans="1:12" ht="15.75" customHeight="1" x14ac:dyDescent="0.25">
      <c r="A856" s="40"/>
      <c r="B856" s="40"/>
      <c r="C856" s="40"/>
      <c r="D856" s="40"/>
      <c r="E856" s="41"/>
      <c r="F856" s="41"/>
      <c r="G856" s="40"/>
      <c r="H856" s="40"/>
      <c r="I856" s="40"/>
      <c r="J856" s="40"/>
      <c r="K856" s="40"/>
      <c r="L856" s="40"/>
    </row>
    <row r="857" spans="1:12" ht="15.75" customHeight="1" x14ac:dyDescent="0.25">
      <c r="A857" s="40"/>
      <c r="B857" s="40"/>
      <c r="C857" s="40"/>
      <c r="D857" s="40"/>
      <c r="E857" s="41"/>
      <c r="F857" s="41"/>
      <c r="G857" s="40"/>
      <c r="H857" s="40"/>
      <c r="I857" s="40"/>
      <c r="J857" s="40"/>
      <c r="K857" s="40"/>
      <c r="L857" s="40"/>
    </row>
    <row r="858" spans="1:12" ht="15.75" customHeight="1" x14ac:dyDescent="0.25">
      <c r="A858" s="40"/>
      <c r="B858" s="40"/>
      <c r="C858" s="40"/>
      <c r="D858" s="40"/>
      <c r="E858" s="41"/>
      <c r="F858" s="41"/>
      <c r="G858" s="40"/>
      <c r="H858" s="40"/>
      <c r="I858" s="40"/>
      <c r="J858" s="40"/>
      <c r="K858" s="40"/>
      <c r="L858" s="40"/>
    </row>
    <row r="859" spans="1:12" ht="15.75" customHeight="1" x14ac:dyDescent="0.25">
      <c r="A859" s="40"/>
      <c r="B859" s="40"/>
      <c r="C859" s="40"/>
      <c r="D859" s="40"/>
      <c r="E859" s="41"/>
      <c r="F859" s="41"/>
      <c r="G859" s="40"/>
      <c r="H859" s="40"/>
      <c r="I859" s="40"/>
      <c r="J859" s="40"/>
      <c r="K859" s="40"/>
      <c r="L859" s="40"/>
    </row>
    <row r="860" spans="1:12" ht="15.75" customHeight="1" x14ac:dyDescent="0.25">
      <c r="A860" s="40"/>
      <c r="B860" s="40"/>
      <c r="C860" s="40"/>
      <c r="D860" s="40"/>
      <c r="E860" s="41"/>
      <c r="F860" s="41"/>
      <c r="G860" s="40"/>
      <c r="H860" s="40"/>
      <c r="I860" s="40"/>
      <c r="J860" s="40"/>
      <c r="K860" s="40"/>
      <c r="L860" s="40"/>
    </row>
    <row r="861" spans="1:12" ht="15.75" customHeight="1" x14ac:dyDescent="0.25">
      <c r="A861" s="40"/>
      <c r="B861" s="40"/>
      <c r="C861" s="40"/>
      <c r="D861" s="40"/>
      <c r="E861" s="41"/>
      <c r="F861" s="41"/>
      <c r="G861" s="40"/>
      <c r="H861" s="40"/>
      <c r="I861" s="40"/>
      <c r="J861" s="40"/>
      <c r="K861" s="40"/>
      <c r="L861" s="40"/>
    </row>
    <row r="862" spans="1:12" ht="15.75" customHeight="1" x14ac:dyDescent="0.25">
      <c r="A862" s="40"/>
      <c r="B862" s="40"/>
      <c r="C862" s="40"/>
      <c r="D862" s="40"/>
      <c r="E862" s="41"/>
      <c r="F862" s="41"/>
      <c r="G862" s="40"/>
      <c r="H862" s="40"/>
      <c r="I862" s="40"/>
      <c r="J862" s="40"/>
      <c r="K862" s="40"/>
      <c r="L862" s="40"/>
    </row>
    <row r="863" spans="1:12" ht="15.75" customHeight="1" x14ac:dyDescent="0.25">
      <c r="A863" s="40"/>
      <c r="B863" s="40"/>
      <c r="C863" s="40"/>
      <c r="D863" s="40"/>
      <c r="E863" s="41"/>
      <c r="F863" s="41"/>
      <c r="G863" s="40"/>
      <c r="H863" s="40"/>
      <c r="I863" s="40"/>
      <c r="J863" s="40"/>
      <c r="K863" s="40"/>
      <c r="L863" s="40"/>
    </row>
    <row r="864" spans="1:12" ht="15.75" customHeight="1" x14ac:dyDescent="0.25">
      <c r="A864" s="40"/>
      <c r="B864" s="40"/>
      <c r="C864" s="40"/>
      <c r="D864" s="40"/>
      <c r="E864" s="41"/>
      <c r="F864" s="41"/>
      <c r="G864" s="40"/>
      <c r="H864" s="40"/>
      <c r="I864" s="40"/>
      <c r="J864" s="40"/>
      <c r="K864" s="40"/>
      <c r="L864" s="40"/>
    </row>
    <row r="865" spans="1:12" ht="15.75" customHeight="1" x14ac:dyDescent="0.25">
      <c r="A865" s="40"/>
      <c r="B865" s="40"/>
      <c r="C865" s="40"/>
      <c r="D865" s="40"/>
      <c r="E865" s="41"/>
      <c r="F865" s="41"/>
      <c r="G865" s="40"/>
      <c r="H865" s="40"/>
      <c r="I865" s="40"/>
      <c r="J865" s="40"/>
      <c r="K865" s="40"/>
      <c r="L865" s="40"/>
    </row>
    <row r="866" spans="1:12" ht="15.75" customHeight="1" x14ac:dyDescent="0.25">
      <c r="A866" s="40"/>
      <c r="B866" s="40"/>
      <c r="C866" s="40"/>
      <c r="D866" s="40"/>
      <c r="E866" s="41"/>
      <c r="F866" s="41"/>
      <c r="G866" s="40"/>
      <c r="H866" s="40"/>
      <c r="I866" s="40"/>
      <c r="J866" s="40"/>
      <c r="K866" s="40"/>
      <c r="L866" s="40"/>
    </row>
    <row r="867" spans="1:12" ht="15.75" customHeight="1" x14ac:dyDescent="0.25">
      <c r="A867" s="40"/>
      <c r="B867" s="40"/>
      <c r="C867" s="40"/>
      <c r="D867" s="40"/>
      <c r="E867" s="41"/>
      <c r="F867" s="41"/>
      <c r="G867" s="40"/>
      <c r="H867" s="40"/>
      <c r="I867" s="40"/>
      <c r="J867" s="40"/>
      <c r="K867" s="40"/>
      <c r="L867" s="40"/>
    </row>
    <row r="868" spans="1:12" ht="15.75" customHeight="1" x14ac:dyDescent="0.25">
      <c r="A868" s="40"/>
      <c r="B868" s="40"/>
      <c r="C868" s="40"/>
      <c r="D868" s="40"/>
      <c r="E868" s="41"/>
      <c r="F868" s="41"/>
      <c r="G868" s="40"/>
      <c r="H868" s="40"/>
      <c r="I868" s="40"/>
      <c r="J868" s="40"/>
      <c r="K868" s="40"/>
      <c r="L868" s="40"/>
    </row>
    <row r="869" spans="1:12" ht="15.75" customHeight="1" x14ac:dyDescent="0.25">
      <c r="A869" s="40"/>
      <c r="B869" s="40"/>
      <c r="C869" s="40"/>
      <c r="D869" s="40"/>
      <c r="E869" s="41"/>
      <c r="F869" s="41"/>
      <c r="G869" s="40"/>
      <c r="H869" s="40"/>
      <c r="I869" s="40"/>
      <c r="J869" s="40"/>
      <c r="K869" s="40"/>
      <c r="L869" s="40"/>
    </row>
    <row r="870" spans="1:12" ht="15.75" customHeight="1" x14ac:dyDescent="0.25">
      <c r="A870" s="40"/>
      <c r="B870" s="40"/>
      <c r="C870" s="40"/>
      <c r="D870" s="40"/>
      <c r="E870" s="41"/>
      <c r="F870" s="41"/>
      <c r="G870" s="40"/>
      <c r="H870" s="40"/>
      <c r="I870" s="40"/>
      <c r="J870" s="40"/>
      <c r="K870" s="40"/>
      <c r="L870" s="40"/>
    </row>
    <row r="871" spans="1:12" ht="15.75" customHeight="1" x14ac:dyDescent="0.25">
      <c r="A871" s="40"/>
      <c r="B871" s="40"/>
      <c r="C871" s="40"/>
      <c r="D871" s="40"/>
      <c r="E871" s="41"/>
      <c r="F871" s="41"/>
      <c r="G871" s="40"/>
      <c r="H871" s="40"/>
      <c r="I871" s="40"/>
      <c r="J871" s="40"/>
      <c r="K871" s="40"/>
      <c r="L871" s="40"/>
    </row>
    <row r="872" spans="1:12" ht="15.75" customHeight="1" x14ac:dyDescent="0.25">
      <c r="A872" s="40"/>
      <c r="B872" s="40"/>
      <c r="C872" s="40"/>
      <c r="D872" s="40"/>
      <c r="E872" s="41"/>
      <c r="F872" s="41"/>
      <c r="G872" s="40"/>
      <c r="H872" s="40"/>
      <c r="I872" s="40"/>
      <c r="J872" s="40"/>
      <c r="K872" s="40"/>
      <c r="L872" s="40"/>
    </row>
    <row r="873" spans="1:12" ht="15.75" customHeight="1" x14ac:dyDescent="0.25">
      <c r="A873" s="40"/>
      <c r="B873" s="40"/>
      <c r="C873" s="40"/>
      <c r="D873" s="40"/>
      <c r="E873" s="41"/>
      <c r="F873" s="41"/>
      <c r="G873" s="40"/>
      <c r="H873" s="40"/>
      <c r="I873" s="40"/>
      <c r="J873" s="40"/>
      <c r="K873" s="40"/>
      <c r="L873" s="40"/>
    </row>
    <row r="874" spans="1:12" ht="15.75" customHeight="1" x14ac:dyDescent="0.25">
      <c r="A874" s="40"/>
      <c r="B874" s="40"/>
      <c r="C874" s="40"/>
      <c r="D874" s="40"/>
      <c r="E874" s="41"/>
      <c r="F874" s="41"/>
      <c r="G874" s="40"/>
      <c r="H874" s="40"/>
      <c r="I874" s="40"/>
      <c r="J874" s="40"/>
      <c r="K874" s="40"/>
      <c r="L874" s="40"/>
    </row>
    <row r="875" spans="1:12" ht="15.75" customHeight="1" x14ac:dyDescent="0.25">
      <c r="A875" s="40"/>
      <c r="B875" s="40"/>
      <c r="C875" s="40"/>
      <c r="D875" s="40"/>
      <c r="E875" s="41"/>
      <c r="F875" s="41"/>
      <c r="G875" s="40"/>
      <c r="H875" s="40"/>
      <c r="I875" s="40"/>
      <c r="J875" s="40"/>
      <c r="K875" s="40"/>
      <c r="L875" s="40"/>
    </row>
    <row r="876" spans="1:12" ht="15.75" customHeight="1" x14ac:dyDescent="0.25">
      <c r="A876" s="40"/>
      <c r="B876" s="40"/>
      <c r="C876" s="40"/>
      <c r="D876" s="40"/>
      <c r="E876" s="41"/>
      <c r="F876" s="41"/>
      <c r="G876" s="40"/>
      <c r="H876" s="40"/>
      <c r="I876" s="40"/>
      <c r="J876" s="40"/>
      <c r="K876" s="40"/>
      <c r="L876" s="40"/>
    </row>
    <row r="877" spans="1:12" ht="15.75" customHeight="1" x14ac:dyDescent="0.25">
      <c r="A877" s="40"/>
      <c r="B877" s="40"/>
      <c r="C877" s="40"/>
      <c r="D877" s="40"/>
      <c r="E877" s="41"/>
      <c r="F877" s="41"/>
      <c r="G877" s="40"/>
      <c r="H877" s="40"/>
      <c r="I877" s="40"/>
      <c r="J877" s="40"/>
      <c r="K877" s="40"/>
      <c r="L877" s="40"/>
    </row>
    <row r="878" spans="1:12" ht="15.75" customHeight="1" x14ac:dyDescent="0.25">
      <c r="A878" s="40"/>
      <c r="B878" s="40"/>
      <c r="C878" s="40"/>
      <c r="D878" s="40"/>
      <c r="E878" s="41"/>
      <c r="F878" s="41"/>
      <c r="G878" s="40"/>
      <c r="H878" s="40"/>
      <c r="I878" s="40"/>
      <c r="J878" s="40"/>
      <c r="K878" s="40"/>
      <c r="L878" s="40"/>
    </row>
    <row r="879" spans="1:12" ht="15.75" customHeight="1" x14ac:dyDescent="0.25">
      <c r="A879" s="40"/>
      <c r="B879" s="40"/>
      <c r="C879" s="40"/>
      <c r="D879" s="40"/>
      <c r="E879" s="41"/>
      <c r="F879" s="41"/>
      <c r="G879" s="40"/>
      <c r="H879" s="40"/>
      <c r="I879" s="40"/>
      <c r="J879" s="40"/>
      <c r="K879" s="40"/>
      <c r="L879" s="40"/>
    </row>
    <row r="880" spans="1:12" ht="15.75" customHeight="1" x14ac:dyDescent="0.25">
      <c r="A880" s="40"/>
      <c r="B880" s="40"/>
      <c r="C880" s="40"/>
      <c r="D880" s="40"/>
      <c r="E880" s="41"/>
      <c r="F880" s="41"/>
      <c r="G880" s="40"/>
      <c r="H880" s="40"/>
      <c r="I880" s="40"/>
      <c r="J880" s="40"/>
      <c r="K880" s="40"/>
      <c r="L880" s="40"/>
    </row>
    <row r="881" spans="1:12" ht="15.75" customHeight="1" x14ac:dyDescent="0.25">
      <c r="A881" s="40"/>
      <c r="B881" s="40"/>
      <c r="C881" s="40"/>
      <c r="D881" s="40"/>
      <c r="E881" s="41"/>
      <c r="F881" s="41"/>
      <c r="G881" s="40"/>
      <c r="H881" s="40"/>
      <c r="I881" s="40"/>
      <c r="J881" s="40"/>
      <c r="K881" s="40"/>
      <c r="L881" s="40"/>
    </row>
    <row r="882" spans="1:12" ht="15.75" customHeight="1" x14ac:dyDescent="0.25">
      <c r="A882" s="40"/>
      <c r="B882" s="40"/>
      <c r="C882" s="40"/>
      <c r="D882" s="40"/>
      <c r="E882" s="41"/>
      <c r="F882" s="41"/>
      <c r="G882" s="40"/>
      <c r="H882" s="40"/>
      <c r="I882" s="40"/>
      <c r="J882" s="40"/>
      <c r="K882" s="40"/>
      <c r="L882" s="40"/>
    </row>
    <row r="883" spans="1:12" ht="15.75" customHeight="1" x14ac:dyDescent="0.25">
      <c r="A883" s="40"/>
      <c r="B883" s="40"/>
      <c r="C883" s="40"/>
      <c r="D883" s="40"/>
      <c r="E883" s="41"/>
      <c r="F883" s="41"/>
      <c r="G883" s="40"/>
      <c r="H883" s="40"/>
      <c r="I883" s="40"/>
      <c r="J883" s="40"/>
      <c r="K883" s="40"/>
      <c r="L883" s="40"/>
    </row>
    <row r="884" spans="1:12" ht="15.75" customHeight="1" x14ac:dyDescent="0.25">
      <c r="A884" s="40"/>
      <c r="B884" s="40"/>
      <c r="C884" s="40"/>
      <c r="D884" s="40"/>
      <c r="E884" s="41"/>
      <c r="F884" s="41"/>
      <c r="G884" s="40"/>
      <c r="H884" s="40"/>
      <c r="I884" s="40"/>
      <c r="J884" s="40"/>
      <c r="K884" s="40"/>
      <c r="L884" s="40"/>
    </row>
    <row r="885" spans="1:12" ht="15.75" customHeight="1" x14ac:dyDescent="0.25">
      <c r="A885" s="40"/>
      <c r="B885" s="40"/>
      <c r="C885" s="40"/>
      <c r="D885" s="40"/>
      <c r="E885" s="41"/>
      <c r="F885" s="41"/>
      <c r="G885" s="40"/>
      <c r="H885" s="40"/>
      <c r="I885" s="40"/>
      <c r="J885" s="40"/>
      <c r="K885" s="40"/>
      <c r="L885" s="40"/>
    </row>
    <row r="886" spans="1:12" ht="15.75" customHeight="1" x14ac:dyDescent="0.25">
      <c r="A886" s="40"/>
      <c r="B886" s="40"/>
      <c r="C886" s="40"/>
      <c r="D886" s="40"/>
      <c r="E886" s="41"/>
      <c r="F886" s="41"/>
      <c r="G886" s="40"/>
      <c r="H886" s="40"/>
      <c r="I886" s="40"/>
      <c r="J886" s="40"/>
      <c r="K886" s="40"/>
      <c r="L886" s="40"/>
    </row>
    <row r="887" spans="1:12" ht="15.75" customHeight="1" x14ac:dyDescent="0.25">
      <c r="A887" s="40"/>
      <c r="B887" s="40"/>
      <c r="C887" s="40"/>
      <c r="D887" s="40"/>
      <c r="E887" s="41"/>
      <c r="F887" s="41"/>
      <c r="G887" s="40"/>
      <c r="H887" s="40"/>
      <c r="I887" s="40"/>
      <c r="J887" s="40"/>
      <c r="K887" s="40"/>
      <c r="L887" s="40"/>
    </row>
    <row r="888" spans="1:12" ht="15.75" customHeight="1" x14ac:dyDescent="0.25">
      <c r="A888" s="40"/>
      <c r="B888" s="40"/>
      <c r="C888" s="40"/>
      <c r="D888" s="40"/>
      <c r="E888" s="41"/>
      <c r="F888" s="41"/>
      <c r="G888" s="40"/>
      <c r="H888" s="40"/>
      <c r="I888" s="40"/>
      <c r="J888" s="40"/>
      <c r="K888" s="40"/>
      <c r="L888" s="40"/>
    </row>
    <row r="889" spans="1:12" ht="15.75" customHeight="1" x14ac:dyDescent="0.25">
      <c r="A889" s="40"/>
      <c r="B889" s="40"/>
      <c r="C889" s="40"/>
      <c r="D889" s="40"/>
      <c r="E889" s="41"/>
      <c r="F889" s="41"/>
      <c r="G889" s="40"/>
      <c r="H889" s="40"/>
      <c r="I889" s="40"/>
      <c r="J889" s="40"/>
      <c r="K889" s="40"/>
      <c r="L889" s="40"/>
    </row>
    <row r="890" spans="1:12" ht="15.75" customHeight="1" x14ac:dyDescent="0.25">
      <c r="A890" s="40"/>
      <c r="B890" s="40"/>
      <c r="C890" s="40"/>
      <c r="D890" s="40"/>
      <c r="E890" s="41"/>
      <c r="F890" s="41"/>
      <c r="G890" s="40"/>
      <c r="H890" s="40"/>
      <c r="I890" s="40"/>
      <c r="J890" s="40"/>
      <c r="K890" s="40"/>
      <c r="L890" s="40"/>
    </row>
    <row r="891" spans="1:12" ht="15.75" customHeight="1" x14ac:dyDescent="0.25">
      <c r="A891" s="40"/>
      <c r="B891" s="40"/>
      <c r="C891" s="40"/>
      <c r="D891" s="40"/>
      <c r="E891" s="41"/>
      <c r="F891" s="41"/>
      <c r="G891" s="40"/>
      <c r="H891" s="40"/>
      <c r="I891" s="40"/>
      <c r="J891" s="40"/>
      <c r="K891" s="40"/>
      <c r="L891" s="40"/>
    </row>
    <row r="892" spans="1:12" ht="15.75" customHeight="1" x14ac:dyDescent="0.25">
      <c r="A892" s="40"/>
      <c r="B892" s="40"/>
      <c r="C892" s="40"/>
      <c r="D892" s="40"/>
      <c r="E892" s="41"/>
      <c r="F892" s="41"/>
      <c r="G892" s="40"/>
      <c r="H892" s="40"/>
      <c r="I892" s="40"/>
      <c r="J892" s="40"/>
      <c r="K892" s="40"/>
      <c r="L892" s="40"/>
    </row>
    <row r="893" spans="1:12" ht="15.75" customHeight="1" x14ac:dyDescent="0.25">
      <c r="A893" s="40"/>
      <c r="B893" s="40"/>
      <c r="C893" s="40"/>
      <c r="D893" s="40"/>
      <c r="E893" s="41"/>
      <c r="F893" s="41"/>
      <c r="G893" s="40"/>
      <c r="H893" s="40"/>
      <c r="I893" s="40"/>
      <c r="J893" s="40"/>
      <c r="K893" s="40"/>
      <c r="L893" s="40"/>
    </row>
    <row r="894" spans="1:12" ht="15.75" customHeight="1" x14ac:dyDescent="0.25">
      <c r="A894" s="40"/>
      <c r="B894" s="40"/>
      <c r="C894" s="40"/>
      <c r="D894" s="40"/>
      <c r="E894" s="41"/>
      <c r="F894" s="41"/>
      <c r="G894" s="40"/>
      <c r="H894" s="40"/>
      <c r="I894" s="40"/>
      <c r="J894" s="40"/>
      <c r="K894" s="40"/>
      <c r="L894" s="40"/>
    </row>
    <row r="895" spans="1:12" ht="15.75" customHeight="1" x14ac:dyDescent="0.25">
      <c r="A895" s="40"/>
      <c r="B895" s="40"/>
      <c r="C895" s="40"/>
      <c r="D895" s="40"/>
      <c r="E895" s="41"/>
      <c r="F895" s="41"/>
      <c r="G895" s="40"/>
      <c r="H895" s="40"/>
      <c r="I895" s="40"/>
      <c r="J895" s="40"/>
      <c r="K895" s="40"/>
      <c r="L895" s="40"/>
    </row>
    <row r="896" spans="1:12" ht="15.75" customHeight="1" x14ac:dyDescent="0.25">
      <c r="A896" s="40"/>
      <c r="B896" s="40"/>
      <c r="C896" s="40"/>
      <c r="D896" s="40"/>
      <c r="E896" s="41"/>
      <c r="F896" s="41"/>
      <c r="G896" s="40"/>
      <c r="H896" s="40"/>
      <c r="I896" s="40"/>
      <c r="J896" s="40"/>
      <c r="K896" s="40"/>
      <c r="L896" s="40"/>
    </row>
    <row r="897" spans="1:12" ht="15.75" customHeight="1" x14ac:dyDescent="0.25">
      <c r="A897" s="40"/>
      <c r="B897" s="40"/>
      <c r="C897" s="40"/>
      <c r="D897" s="40"/>
      <c r="E897" s="41"/>
      <c r="F897" s="41"/>
      <c r="G897" s="40"/>
      <c r="H897" s="40"/>
      <c r="I897" s="40"/>
      <c r="J897" s="40"/>
      <c r="K897" s="40"/>
      <c r="L897" s="40"/>
    </row>
    <row r="898" spans="1:12" ht="15.75" customHeight="1" x14ac:dyDescent="0.25">
      <c r="A898" s="40"/>
      <c r="B898" s="40"/>
      <c r="C898" s="40"/>
      <c r="D898" s="40"/>
      <c r="E898" s="41"/>
      <c r="F898" s="41"/>
      <c r="G898" s="40"/>
      <c r="H898" s="40"/>
      <c r="I898" s="40"/>
      <c r="J898" s="40"/>
      <c r="K898" s="40"/>
      <c r="L898" s="40"/>
    </row>
    <row r="899" spans="1:12" ht="15.75" customHeight="1" x14ac:dyDescent="0.25">
      <c r="A899" s="40"/>
      <c r="B899" s="40"/>
      <c r="C899" s="40"/>
      <c r="D899" s="40"/>
      <c r="E899" s="41"/>
      <c r="F899" s="41"/>
      <c r="G899" s="40"/>
      <c r="H899" s="40"/>
      <c r="I899" s="40"/>
      <c r="J899" s="40"/>
      <c r="K899" s="40"/>
      <c r="L899" s="40"/>
    </row>
    <row r="900" spans="1:12" ht="15.75" customHeight="1" x14ac:dyDescent="0.25">
      <c r="A900" s="40"/>
      <c r="B900" s="40"/>
      <c r="C900" s="40"/>
      <c r="D900" s="40"/>
      <c r="E900" s="41"/>
      <c r="F900" s="41"/>
      <c r="G900" s="40"/>
      <c r="H900" s="40"/>
      <c r="I900" s="40"/>
      <c r="J900" s="40"/>
      <c r="K900" s="40"/>
      <c r="L900" s="40"/>
    </row>
    <row r="901" spans="1:12" ht="15.75" customHeight="1" x14ac:dyDescent="0.25">
      <c r="A901" s="40"/>
      <c r="B901" s="40"/>
      <c r="C901" s="40"/>
      <c r="D901" s="40"/>
      <c r="E901" s="41"/>
      <c r="F901" s="41"/>
      <c r="G901" s="40"/>
      <c r="H901" s="40"/>
      <c r="I901" s="40"/>
      <c r="J901" s="40"/>
      <c r="K901" s="40"/>
      <c r="L901" s="40"/>
    </row>
    <row r="902" spans="1:12" ht="15.75" customHeight="1" x14ac:dyDescent="0.25">
      <c r="A902" s="40"/>
      <c r="B902" s="40"/>
      <c r="C902" s="40"/>
      <c r="D902" s="40"/>
      <c r="E902" s="41"/>
      <c r="F902" s="41"/>
      <c r="G902" s="40"/>
      <c r="H902" s="40"/>
      <c r="I902" s="40"/>
      <c r="J902" s="40"/>
      <c r="K902" s="40"/>
      <c r="L902" s="40"/>
    </row>
    <row r="903" spans="1:12" ht="15.75" customHeight="1" x14ac:dyDescent="0.25">
      <c r="A903" s="40"/>
      <c r="B903" s="40"/>
      <c r="C903" s="40"/>
      <c r="D903" s="40"/>
      <c r="E903" s="41"/>
      <c r="F903" s="41"/>
      <c r="G903" s="40"/>
      <c r="H903" s="40"/>
      <c r="I903" s="40"/>
      <c r="J903" s="40"/>
      <c r="K903" s="40"/>
      <c r="L903" s="40"/>
    </row>
    <row r="904" spans="1:12" ht="15.75" customHeight="1" x14ac:dyDescent="0.25">
      <c r="A904" s="40"/>
      <c r="B904" s="40"/>
      <c r="C904" s="40"/>
      <c r="D904" s="40"/>
      <c r="E904" s="41"/>
      <c r="F904" s="41"/>
      <c r="G904" s="40"/>
      <c r="H904" s="40"/>
      <c r="I904" s="40"/>
      <c r="J904" s="40"/>
      <c r="K904" s="40"/>
      <c r="L904" s="40"/>
    </row>
    <row r="905" spans="1:12" ht="15.75" customHeight="1" x14ac:dyDescent="0.25">
      <c r="A905" s="40"/>
      <c r="B905" s="40"/>
      <c r="C905" s="40"/>
      <c r="D905" s="40"/>
      <c r="E905" s="41"/>
      <c r="F905" s="41"/>
      <c r="G905" s="40"/>
      <c r="H905" s="40"/>
      <c r="I905" s="40"/>
      <c r="J905" s="40"/>
      <c r="K905" s="40"/>
      <c r="L905" s="40"/>
    </row>
    <row r="906" spans="1:12" ht="15.75" customHeight="1" x14ac:dyDescent="0.25">
      <c r="A906" s="40"/>
      <c r="B906" s="40"/>
      <c r="C906" s="40"/>
      <c r="D906" s="40"/>
      <c r="E906" s="41"/>
      <c r="F906" s="41"/>
      <c r="G906" s="40"/>
      <c r="H906" s="40"/>
      <c r="I906" s="40"/>
      <c r="J906" s="40"/>
      <c r="K906" s="40"/>
      <c r="L906" s="40"/>
    </row>
    <row r="907" spans="1:12" ht="15.75" customHeight="1" x14ac:dyDescent="0.25">
      <c r="A907" s="40"/>
      <c r="B907" s="40"/>
      <c r="C907" s="40"/>
      <c r="D907" s="40"/>
      <c r="E907" s="41"/>
      <c r="F907" s="41"/>
      <c r="G907" s="40"/>
      <c r="H907" s="40"/>
      <c r="I907" s="40"/>
      <c r="J907" s="40"/>
      <c r="K907" s="40"/>
      <c r="L907" s="40"/>
    </row>
    <row r="908" spans="1:12" ht="15.75" customHeight="1" x14ac:dyDescent="0.25">
      <c r="A908" s="40"/>
      <c r="B908" s="40"/>
      <c r="C908" s="40"/>
      <c r="D908" s="40"/>
      <c r="E908" s="41"/>
      <c r="F908" s="41"/>
      <c r="G908" s="40"/>
      <c r="H908" s="40"/>
      <c r="I908" s="40"/>
      <c r="J908" s="40"/>
      <c r="K908" s="40"/>
      <c r="L908" s="40"/>
    </row>
    <row r="909" spans="1:12" ht="15.75" customHeight="1" x14ac:dyDescent="0.25">
      <c r="A909" s="40"/>
      <c r="B909" s="40"/>
      <c r="C909" s="40"/>
      <c r="D909" s="40"/>
      <c r="E909" s="41"/>
      <c r="F909" s="41"/>
      <c r="G909" s="40"/>
      <c r="H909" s="40"/>
      <c r="I909" s="40"/>
      <c r="J909" s="40"/>
      <c r="K909" s="40"/>
      <c r="L909" s="40"/>
    </row>
    <row r="910" spans="1:12" ht="15.75" customHeight="1" x14ac:dyDescent="0.25">
      <c r="A910" s="40"/>
      <c r="B910" s="40"/>
      <c r="C910" s="40"/>
      <c r="D910" s="40"/>
      <c r="E910" s="41"/>
      <c r="F910" s="41"/>
      <c r="G910" s="40"/>
      <c r="H910" s="40"/>
      <c r="I910" s="40"/>
      <c r="J910" s="40"/>
      <c r="K910" s="40"/>
      <c r="L910" s="40"/>
    </row>
    <row r="911" spans="1:12" ht="15.75" customHeight="1" x14ac:dyDescent="0.25">
      <c r="A911" s="40"/>
      <c r="B911" s="40"/>
      <c r="C911" s="40"/>
      <c r="D911" s="40"/>
      <c r="E911" s="41"/>
      <c r="F911" s="41"/>
      <c r="G911" s="40"/>
      <c r="H911" s="40"/>
      <c r="I911" s="40"/>
      <c r="J911" s="40"/>
      <c r="K911" s="40"/>
      <c r="L911" s="40"/>
    </row>
    <row r="912" spans="1:12" ht="15.75" customHeight="1" x14ac:dyDescent="0.25">
      <c r="A912" s="40"/>
      <c r="B912" s="40"/>
      <c r="C912" s="40"/>
      <c r="D912" s="40"/>
      <c r="E912" s="41"/>
      <c r="F912" s="41"/>
      <c r="G912" s="40"/>
      <c r="H912" s="40"/>
      <c r="I912" s="40"/>
      <c r="J912" s="40"/>
      <c r="K912" s="40"/>
      <c r="L912" s="40"/>
    </row>
    <row r="913" spans="1:12" ht="15.75" customHeight="1" x14ac:dyDescent="0.25">
      <c r="A913" s="40"/>
      <c r="B913" s="40"/>
      <c r="C913" s="40"/>
      <c r="D913" s="40"/>
      <c r="E913" s="41"/>
      <c r="F913" s="41"/>
      <c r="G913" s="40"/>
      <c r="H913" s="40"/>
      <c r="I913" s="40"/>
      <c r="J913" s="40"/>
      <c r="K913" s="40"/>
      <c r="L913" s="40"/>
    </row>
    <row r="914" spans="1:12" ht="15.75" customHeight="1" x14ac:dyDescent="0.25">
      <c r="A914" s="40"/>
      <c r="B914" s="40"/>
      <c r="C914" s="40"/>
      <c r="D914" s="40"/>
      <c r="E914" s="41"/>
      <c r="F914" s="41"/>
      <c r="G914" s="40"/>
      <c r="H914" s="40"/>
      <c r="I914" s="40"/>
      <c r="J914" s="40"/>
      <c r="K914" s="40"/>
      <c r="L914" s="40"/>
    </row>
    <row r="915" spans="1:12" ht="15.75" customHeight="1" x14ac:dyDescent="0.25">
      <c r="A915" s="40"/>
      <c r="B915" s="40"/>
      <c r="C915" s="40"/>
      <c r="D915" s="40"/>
      <c r="E915" s="41"/>
      <c r="F915" s="41"/>
      <c r="G915" s="40"/>
      <c r="H915" s="40"/>
      <c r="I915" s="40"/>
      <c r="J915" s="40"/>
      <c r="K915" s="40"/>
      <c r="L915" s="40"/>
    </row>
    <row r="916" spans="1:12" ht="15.75" customHeight="1" x14ac:dyDescent="0.25">
      <c r="A916" s="40"/>
      <c r="B916" s="40"/>
      <c r="C916" s="40"/>
      <c r="D916" s="40"/>
      <c r="E916" s="41"/>
      <c r="F916" s="41"/>
      <c r="G916" s="40"/>
      <c r="H916" s="40"/>
      <c r="I916" s="40"/>
      <c r="J916" s="40"/>
      <c r="K916" s="40"/>
      <c r="L916" s="40"/>
    </row>
    <row r="917" spans="1:12" ht="15.75" customHeight="1" x14ac:dyDescent="0.25">
      <c r="A917" s="40"/>
      <c r="B917" s="40"/>
      <c r="C917" s="40"/>
      <c r="D917" s="40"/>
      <c r="E917" s="41"/>
      <c r="F917" s="41"/>
      <c r="G917" s="40"/>
      <c r="H917" s="40"/>
      <c r="I917" s="40"/>
      <c r="J917" s="40"/>
      <c r="K917" s="40"/>
      <c r="L917" s="40"/>
    </row>
    <row r="918" spans="1:12" ht="15.75" customHeight="1" x14ac:dyDescent="0.25">
      <c r="A918" s="40"/>
      <c r="B918" s="40"/>
      <c r="C918" s="40"/>
      <c r="D918" s="40"/>
      <c r="E918" s="41"/>
      <c r="F918" s="41"/>
      <c r="G918" s="40"/>
      <c r="H918" s="40"/>
      <c r="I918" s="40"/>
      <c r="J918" s="40"/>
      <c r="K918" s="40"/>
      <c r="L918" s="40"/>
    </row>
    <row r="919" spans="1:12" ht="15.75" customHeight="1" x14ac:dyDescent="0.25">
      <c r="A919" s="40"/>
      <c r="B919" s="40"/>
      <c r="C919" s="40"/>
      <c r="D919" s="40"/>
      <c r="E919" s="41"/>
      <c r="F919" s="41"/>
      <c r="G919" s="40"/>
      <c r="H919" s="40"/>
      <c r="I919" s="40"/>
      <c r="J919" s="40"/>
      <c r="K919" s="40"/>
      <c r="L919" s="40"/>
    </row>
    <row r="920" spans="1:12" ht="15.75" customHeight="1" x14ac:dyDescent="0.25">
      <c r="A920" s="40"/>
      <c r="B920" s="40"/>
      <c r="C920" s="40"/>
      <c r="D920" s="40"/>
      <c r="E920" s="41"/>
      <c r="F920" s="41"/>
      <c r="G920" s="40"/>
      <c r="H920" s="40"/>
      <c r="I920" s="40"/>
      <c r="J920" s="40"/>
      <c r="K920" s="40"/>
      <c r="L920" s="40"/>
    </row>
    <row r="921" spans="1:12" ht="15.75" customHeight="1" x14ac:dyDescent="0.25">
      <c r="A921" s="40"/>
      <c r="B921" s="40"/>
      <c r="C921" s="40"/>
      <c r="D921" s="40"/>
      <c r="E921" s="41"/>
      <c r="F921" s="41"/>
      <c r="G921" s="40"/>
      <c r="H921" s="40"/>
      <c r="I921" s="40"/>
      <c r="J921" s="40"/>
      <c r="K921" s="40"/>
      <c r="L921" s="40"/>
    </row>
    <row r="922" spans="1:12" ht="15.75" customHeight="1" x14ac:dyDescent="0.25">
      <c r="A922" s="40"/>
      <c r="B922" s="40"/>
      <c r="C922" s="40"/>
      <c r="D922" s="40"/>
      <c r="E922" s="41"/>
      <c r="F922" s="41"/>
      <c r="G922" s="40"/>
      <c r="H922" s="40"/>
      <c r="I922" s="40"/>
      <c r="J922" s="40"/>
      <c r="K922" s="40"/>
      <c r="L922" s="40"/>
    </row>
    <row r="923" spans="1:12" ht="15.75" customHeight="1" x14ac:dyDescent="0.25">
      <c r="A923" s="40"/>
      <c r="B923" s="40"/>
      <c r="C923" s="40"/>
      <c r="D923" s="40"/>
      <c r="E923" s="41"/>
      <c r="F923" s="41"/>
      <c r="G923" s="40"/>
      <c r="H923" s="40"/>
      <c r="I923" s="40"/>
      <c r="J923" s="40"/>
      <c r="K923" s="40"/>
      <c r="L923" s="40"/>
    </row>
    <row r="924" spans="1:12" ht="15.75" customHeight="1" x14ac:dyDescent="0.25">
      <c r="A924" s="40"/>
      <c r="B924" s="40"/>
      <c r="C924" s="40"/>
      <c r="D924" s="40"/>
      <c r="E924" s="41"/>
      <c r="F924" s="41"/>
      <c r="G924" s="40"/>
      <c r="H924" s="40"/>
      <c r="I924" s="40"/>
      <c r="J924" s="40"/>
      <c r="K924" s="40"/>
      <c r="L924" s="40"/>
    </row>
    <row r="925" spans="1:12" ht="15.75" customHeight="1" x14ac:dyDescent="0.25">
      <c r="A925" s="40"/>
      <c r="B925" s="40"/>
      <c r="C925" s="40"/>
      <c r="D925" s="40"/>
      <c r="E925" s="41"/>
      <c r="F925" s="41"/>
      <c r="G925" s="40"/>
      <c r="H925" s="40"/>
      <c r="I925" s="40"/>
      <c r="J925" s="40"/>
      <c r="K925" s="40"/>
      <c r="L925" s="40"/>
    </row>
    <row r="926" spans="1:12" ht="15.75" customHeight="1" x14ac:dyDescent="0.25">
      <c r="A926" s="40"/>
      <c r="B926" s="40"/>
      <c r="C926" s="40"/>
      <c r="D926" s="40"/>
      <c r="E926" s="41"/>
      <c r="F926" s="41"/>
      <c r="G926" s="40"/>
      <c r="H926" s="40"/>
      <c r="I926" s="40"/>
      <c r="J926" s="40"/>
      <c r="K926" s="40"/>
      <c r="L926" s="40"/>
    </row>
    <row r="927" spans="1:12" ht="15.75" customHeight="1" x14ac:dyDescent="0.25">
      <c r="A927" s="40"/>
      <c r="B927" s="40"/>
      <c r="C927" s="40"/>
      <c r="D927" s="40"/>
      <c r="E927" s="41"/>
      <c r="F927" s="41"/>
      <c r="G927" s="40"/>
      <c r="H927" s="40"/>
      <c r="I927" s="40"/>
      <c r="J927" s="40"/>
      <c r="K927" s="40"/>
      <c r="L927" s="40"/>
    </row>
    <row r="928" spans="1:12" ht="15.75" customHeight="1" x14ac:dyDescent="0.25">
      <c r="A928" s="40"/>
      <c r="B928" s="40"/>
      <c r="C928" s="40"/>
      <c r="D928" s="40"/>
      <c r="E928" s="41"/>
      <c r="F928" s="41"/>
      <c r="G928" s="40"/>
      <c r="H928" s="40"/>
      <c r="I928" s="40"/>
      <c r="J928" s="40"/>
      <c r="K928" s="40"/>
      <c r="L928" s="40"/>
    </row>
    <row r="929" spans="1:12" ht="15.75" customHeight="1" x14ac:dyDescent="0.25">
      <c r="A929" s="40"/>
      <c r="B929" s="40"/>
      <c r="C929" s="40"/>
      <c r="D929" s="40"/>
      <c r="E929" s="41"/>
      <c r="F929" s="41"/>
      <c r="G929" s="40"/>
      <c r="H929" s="40"/>
      <c r="I929" s="40"/>
      <c r="J929" s="40"/>
      <c r="K929" s="40"/>
      <c r="L929" s="40"/>
    </row>
    <row r="930" spans="1:12" ht="15.75" customHeight="1" x14ac:dyDescent="0.25">
      <c r="A930" s="40"/>
      <c r="B930" s="40"/>
      <c r="C930" s="40"/>
      <c r="D930" s="40"/>
      <c r="E930" s="41"/>
      <c r="F930" s="41"/>
      <c r="G930" s="40"/>
      <c r="H930" s="40"/>
      <c r="I930" s="40"/>
      <c r="J930" s="40"/>
      <c r="K930" s="40"/>
      <c r="L930" s="40"/>
    </row>
    <row r="931" spans="1:12" ht="15.75" customHeight="1" x14ac:dyDescent="0.25">
      <c r="A931" s="40"/>
      <c r="B931" s="40"/>
      <c r="C931" s="40"/>
      <c r="D931" s="40"/>
      <c r="E931" s="41"/>
      <c r="F931" s="41"/>
      <c r="G931" s="40"/>
      <c r="H931" s="40"/>
      <c r="I931" s="40"/>
      <c r="J931" s="40"/>
      <c r="K931" s="40"/>
      <c r="L931" s="40"/>
    </row>
    <row r="932" spans="1:12" ht="15.75" customHeight="1" x14ac:dyDescent="0.25">
      <c r="A932" s="40"/>
      <c r="B932" s="40"/>
      <c r="C932" s="40"/>
      <c r="D932" s="40"/>
      <c r="E932" s="41"/>
      <c r="F932" s="41"/>
      <c r="G932" s="40"/>
      <c r="H932" s="40"/>
      <c r="I932" s="40"/>
      <c r="J932" s="40"/>
      <c r="K932" s="40"/>
      <c r="L932" s="40"/>
    </row>
    <row r="933" spans="1:12" ht="15.75" customHeight="1" x14ac:dyDescent="0.25">
      <c r="A933" s="40"/>
      <c r="B933" s="40"/>
      <c r="C933" s="40"/>
      <c r="D933" s="40"/>
      <c r="E933" s="41"/>
      <c r="F933" s="41"/>
      <c r="G933" s="40"/>
      <c r="H933" s="40"/>
      <c r="I933" s="40"/>
      <c r="J933" s="40"/>
      <c r="K933" s="40"/>
      <c r="L933" s="40"/>
    </row>
    <row r="934" spans="1:12" ht="15.75" customHeight="1" x14ac:dyDescent="0.25">
      <c r="A934" s="40"/>
      <c r="B934" s="40"/>
      <c r="C934" s="40"/>
      <c r="D934" s="40"/>
      <c r="E934" s="41"/>
      <c r="F934" s="41"/>
      <c r="G934" s="40"/>
      <c r="H934" s="40"/>
      <c r="I934" s="40"/>
      <c r="J934" s="40"/>
      <c r="K934" s="40"/>
      <c r="L934" s="40"/>
    </row>
    <row r="935" spans="1:12" ht="15.75" customHeight="1" x14ac:dyDescent="0.25">
      <c r="A935" s="40"/>
      <c r="B935" s="40"/>
      <c r="C935" s="40"/>
      <c r="D935" s="40"/>
      <c r="E935" s="41"/>
      <c r="F935" s="41"/>
      <c r="G935" s="40"/>
      <c r="H935" s="40"/>
      <c r="I935" s="40"/>
      <c r="J935" s="40"/>
      <c r="K935" s="40"/>
      <c r="L935" s="40"/>
    </row>
    <row r="936" spans="1:12" ht="15.75" customHeight="1" x14ac:dyDescent="0.25">
      <c r="A936" s="40"/>
      <c r="B936" s="40"/>
      <c r="C936" s="40"/>
      <c r="D936" s="40"/>
      <c r="E936" s="41"/>
      <c r="F936" s="41"/>
      <c r="G936" s="40"/>
      <c r="H936" s="40"/>
      <c r="I936" s="40"/>
      <c r="J936" s="40"/>
      <c r="K936" s="40"/>
      <c r="L936" s="40"/>
    </row>
    <row r="937" spans="1:12" ht="15.75" customHeight="1" x14ac:dyDescent="0.25">
      <c r="A937" s="40"/>
      <c r="B937" s="40"/>
      <c r="C937" s="40"/>
      <c r="D937" s="40"/>
      <c r="E937" s="41"/>
      <c r="F937" s="41"/>
      <c r="G937" s="40"/>
      <c r="H937" s="40"/>
      <c r="I937" s="40"/>
      <c r="J937" s="40"/>
      <c r="K937" s="40"/>
      <c r="L937" s="40"/>
    </row>
    <row r="938" spans="1:12" ht="15.75" customHeight="1" x14ac:dyDescent="0.25">
      <c r="A938" s="40"/>
      <c r="B938" s="40"/>
      <c r="C938" s="40"/>
      <c r="D938" s="40"/>
      <c r="E938" s="41"/>
      <c r="F938" s="41"/>
      <c r="G938" s="40"/>
      <c r="H938" s="40"/>
      <c r="I938" s="40"/>
      <c r="J938" s="40"/>
      <c r="K938" s="40"/>
      <c r="L938" s="40"/>
    </row>
    <row r="939" spans="1:12" ht="15.75" customHeight="1" x14ac:dyDescent="0.25">
      <c r="A939" s="40"/>
      <c r="B939" s="40"/>
      <c r="C939" s="40"/>
      <c r="D939" s="40"/>
      <c r="E939" s="41"/>
      <c r="F939" s="41"/>
      <c r="G939" s="40"/>
      <c r="H939" s="40"/>
      <c r="I939" s="40"/>
      <c r="J939" s="40"/>
      <c r="K939" s="40"/>
      <c r="L939" s="40"/>
    </row>
    <row r="940" spans="1:12" ht="15.75" customHeight="1" x14ac:dyDescent="0.25">
      <c r="A940" s="40"/>
      <c r="B940" s="40"/>
      <c r="C940" s="40"/>
      <c r="D940" s="40"/>
      <c r="E940" s="41"/>
      <c r="F940" s="41"/>
      <c r="G940" s="40"/>
      <c r="H940" s="40"/>
      <c r="I940" s="40"/>
      <c r="J940" s="40"/>
      <c r="K940" s="40"/>
      <c r="L940" s="40"/>
    </row>
    <row r="941" spans="1:12" ht="15.75" customHeight="1" x14ac:dyDescent="0.25">
      <c r="A941" s="40"/>
      <c r="B941" s="40"/>
      <c r="C941" s="40"/>
      <c r="D941" s="40"/>
      <c r="E941" s="41"/>
      <c r="F941" s="41"/>
      <c r="G941" s="40"/>
      <c r="H941" s="40"/>
      <c r="I941" s="40"/>
      <c r="J941" s="40"/>
      <c r="K941" s="40"/>
      <c r="L941" s="40"/>
    </row>
    <row r="942" spans="1:12" ht="15.75" customHeight="1" x14ac:dyDescent="0.25">
      <c r="A942" s="40"/>
      <c r="B942" s="40"/>
      <c r="C942" s="40"/>
      <c r="D942" s="40"/>
      <c r="E942" s="41"/>
      <c r="F942" s="41"/>
      <c r="G942" s="40"/>
      <c r="H942" s="40"/>
      <c r="I942" s="40"/>
      <c r="J942" s="40"/>
      <c r="K942" s="40"/>
      <c r="L942" s="40"/>
    </row>
    <row r="943" spans="1:12" ht="15.75" customHeight="1" x14ac:dyDescent="0.25">
      <c r="A943" s="40"/>
      <c r="B943" s="40"/>
      <c r="C943" s="40"/>
      <c r="D943" s="40"/>
      <c r="E943" s="41"/>
      <c r="F943" s="41"/>
      <c r="G943" s="40"/>
      <c r="H943" s="40"/>
      <c r="I943" s="40"/>
      <c r="J943" s="40"/>
      <c r="K943" s="40"/>
      <c r="L943" s="40"/>
    </row>
    <row r="944" spans="1:12" ht="15.75" customHeight="1" x14ac:dyDescent="0.25">
      <c r="A944" s="40"/>
      <c r="B944" s="40"/>
      <c r="C944" s="40"/>
      <c r="D944" s="40"/>
      <c r="E944" s="41"/>
      <c r="F944" s="41"/>
      <c r="G944" s="40"/>
      <c r="H944" s="40"/>
      <c r="I944" s="40"/>
      <c r="J944" s="40"/>
      <c r="K944" s="40"/>
      <c r="L944" s="40"/>
    </row>
    <row r="945" spans="1:12" ht="15.75" customHeight="1" x14ac:dyDescent="0.25">
      <c r="A945" s="40"/>
      <c r="B945" s="40"/>
      <c r="C945" s="40"/>
      <c r="D945" s="40"/>
      <c r="E945" s="41"/>
      <c r="F945" s="41"/>
      <c r="G945" s="40"/>
      <c r="H945" s="40"/>
      <c r="I945" s="40"/>
      <c r="J945" s="40"/>
      <c r="K945" s="40"/>
      <c r="L945" s="40"/>
    </row>
    <row r="946" spans="1:12" ht="15.75" customHeight="1" x14ac:dyDescent="0.25">
      <c r="A946" s="40"/>
      <c r="B946" s="40"/>
      <c r="C946" s="40"/>
      <c r="D946" s="40"/>
      <c r="E946" s="41"/>
      <c r="F946" s="41"/>
      <c r="G946" s="40"/>
      <c r="H946" s="40"/>
      <c r="I946" s="40"/>
      <c r="J946" s="40"/>
      <c r="K946" s="40"/>
      <c r="L946" s="40"/>
    </row>
    <row r="947" spans="1:12" ht="15.75" customHeight="1" x14ac:dyDescent="0.25">
      <c r="A947" s="40"/>
      <c r="B947" s="40"/>
      <c r="C947" s="40"/>
      <c r="D947" s="40"/>
      <c r="E947" s="41"/>
      <c r="F947" s="41"/>
      <c r="G947" s="40"/>
      <c r="H947" s="40"/>
      <c r="I947" s="40"/>
      <c r="J947" s="40"/>
      <c r="K947" s="40"/>
      <c r="L947" s="40"/>
    </row>
    <row r="948" spans="1:12" ht="15.75" customHeight="1" x14ac:dyDescent="0.25">
      <c r="A948" s="40"/>
      <c r="B948" s="40"/>
      <c r="C948" s="40"/>
      <c r="D948" s="40"/>
      <c r="E948" s="41"/>
      <c r="F948" s="41"/>
      <c r="G948" s="40"/>
      <c r="H948" s="40"/>
      <c r="I948" s="40"/>
      <c r="J948" s="40"/>
      <c r="K948" s="40"/>
      <c r="L948" s="40"/>
    </row>
    <row r="949" spans="1:12" ht="15.75" customHeight="1" x14ac:dyDescent="0.25">
      <c r="A949" s="40"/>
      <c r="B949" s="40"/>
      <c r="C949" s="40"/>
      <c r="D949" s="40"/>
      <c r="E949" s="41"/>
      <c r="F949" s="41"/>
      <c r="G949" s="40"/>
      <c r="H949" s="40"/>
      <c r="I949" s="40"/>
      <c r="J949" s="40"/>
      <c r="K949" s="40"/>
      <c r="L949" s="40"/>
    </row>
    <row r="950" spans="1:12" ht="15.75" customHeight="1" x14ac:dyDescent="0.25">
      <c r="A950" s="40"/>
      <c r="B950" s="40"/>
      <c r="C950" s="40"/>
      <c r="D950" s="40"/>
      <c r="E950" s="41"/>
      <c r="F950" s="41"/>
      <c r="G950" s="40"/>
      <c r="H950" s="40"/>
      <c r="I950" s="40"/>
      <c r="J950" s="40"/>
      <c r="K950" s="40"/>
      <c r="L950" s="40"/>
    </row>
    <row r="951" spans="1:12" ht="15.75" customHeight="1" x14ac:dyDescent="0.25">
      <c r="A951" s="40"/>
      <c r="B951" s="40"/>
      <c r="C951" s="40"/>
      <c r="D951" s="40"/>
      <c r="E951" s="41"/>
      <c r="F951" s="41"/>
      <c r="G951" s="40"/>
      <c r="H951" s="40"/>
      <c r="I951" s="40"/>
      <c r="J951" s="40"/>
      <c r="K951" s="40"/>
      <c r="L951" s="40"/>
    </row>
    <row r="952" spans="1:12" ht="15.75" customHeight="1" x14ac:dyDescent="0.25">
      <c r="A952" s="40"/>
      <c r="B952" s="40"/>
      <c r="C952" s="40"/>
      <c r="D952" s="40"/>
      <c r="E952" s="41"/>
      <c r="F952" s="41"/>
      <c r="G952" s="40"/>
      <c r="H952" s="40"/>
      <c r="I952" s="40"/>
      <c r="J952" s="40"/>
      <c r="K952" s="40"/>
      <c r="L952" s="40"/>
    </row>
    <row r="953" spans="1:12" ht="15.75" customHeight="1" x14ac:dyDescent="0.25">
      <c r="A953" s="40"/>
      <c r="B953" s="40"/>
      <c r="C953" s="40"/>
      <c r="D953" s="40"/>
      <c r="E953" s="41"/>
      <c r="F953" s="41"/>
      <c r="G953" s="40"/>
      <c r="H953" s="40"/>
      <c r="I953" s="40"/>
      <c r="J953" s="40"/>
      <c r="K953" s="40"/>
      <c r="L953" s="40"/>
    </row>
    <row r="954" spans="1:12" ht="15.75" customHeight="1" x14ac:dyDescent="0.25">
      <c r="A954" s="40"/>
      <c r="B954" s="40"/>
      <c r="C954" s="40"/>
      <c r="D954" s="40"/>
      <c r="E954" s="41"/>
      <c r="F954" s="41"/>
      <c r="G954" s="40"/>
      <c r="H954" s="40"/>
      <c r="I954" s="40"/>
      <c r="J954" s="40"/>
      <c r="K954" s="40"/>
      <c r="L954" s="40"/>
    </row>
    <row r="955" spans="1:12" ht="15.75" customHeight="1" x14ac:dyDescent="0.25">
      <c r="A955" s="40"/>
      <c r="B955" s="40"/>
      <c r="C955" s="40"/>
      <c r="D955" s="40"/>
      <c r="E955" s="41"/>
      <c r="F955" s="41"/>
      <c r="G955" s="40"/>
      <c r="H955" s="40"/>
      <c r="I955" s="40"/>
      <c r="J955" s="40"/>
      <c r="K955" s="40"/>
      <c r="L955" s="40"/>
    </row>
    <row r="956" spans="1:12" ht="15.75" customHeight="1" x14ac:dyDescent="0.25">
      <c r="A956" s="40"/>
      <c r="B956" s="40"/>
      <c r="C956" s="40"/>
      <c r="D956" s="40"/>
      <c r="E956" s="41"/>
      <c r="F956" s="41"/>
      <c r="G956" s="40"/>
      <c r="H956" s="40"/>
      <c r="I956" s="40"/>
      <c r="J956" s="40"/>
      <c r="K956" s="40"/>
      <c r="L956" s="40"/>
    </row>
    <row r="957" spans="1:12" ht="15.75" customHeight="1" x14ac:dyDescent="0.25">
      <c r="A957" s="40"/>
      <c r="B957" s="40"/>
      <c r="C957" s="40"/>
      <c r="D957" s="40"/>
      <c r="E957" s="41"/>
      <c r="F957" s="41"/>
      <c r="G957" s="40"/>
      <c r="H957" s="40"/>
      <c r="I957" s="40"/>
      <c r="J957" s="40"/>
      <c r="K957" s="40"/>
      <c r="L957" s="40"/>
    </row>
    <row r="958" spans="1:12" ht="15.75" customHeight="1" x14ac:dyDescent="0.25">
      <c r="A958" s="40"/>
      <c r="B958" s="40"/>
      <c r="C958" s="40"/>
      <c r="D958" s="40"/>
      <c r="E958" s="41"/>
      <c r="F958" s="41"/>
      <c r="G958" s="40"/>
      <c r="H958" s="40"/>
      <c r="I958" s="40"/>
      <c r="J958" s="40"/>
      <c r="K958" s="40"/>
      <c r="L958" s="40"/>
    </row>
    <row r="959" spans="1:12" ht="15.75" customHeight="1" x14ac:dyDescent="0.25">
      <c r="A959" s="40"/>
      <c r="B959" s="40"/>
      <c r="C959" s="40"/>
      <c r="D959" s="40"/>
      <c r="E959" s="41"/>
      <c r="F959" s="41"/>
      <c r="G959" s="40"/>
      <c r="H959" s="40"/>
      <c r="I959" s="40"/>
      <c r="J959" s="40"/>
      <c r="K959" s="40"/>
      <c r="L959" s="40"/>
    </row>
    <row r="960" spans="1:12" ht="15.75" customHeight="1" x14ac:dyDescent="0.25">
      <c r="A960" s="40"/>
      <c r="B960" s="40"/>
      <c r="C960" s="40"/>
      <c r="D960" s="40"/>
      <c r="E960" s="41"/>
      <c r="F960" s="41"/>
      <c r="G960" s="40"/>
      <c r="H960" s="40"/>
      <c r="I960" s="40"/>
      <c r="J960" s="40"/>
      <c r="K960" s="40"/>
      <c r="L960" s="40"/>
    </row>
    <row r="961" spans="1:12" ht="15.75" customHeight="1" x14ac:dyDescent="0.25">
      <c r="A961" s="40"/>
      <c r="B961" s="40"/>
      <c r="C961" s="40"/>
      <c r="D961" s="40"/>
      <c r="E961" s="41"/>
      <c r="F961" s="41"/>
      <c r="G961" s="40"/>
      <c r="H961" s="40"/>
      <c r="I961" s="40"/>
      <c r="J961" s="40"/>
      <c r="K961" s="40"/>
      <c r="L961" s="40"/>
    </row>
    <row r="962" spans="1:12" ht="15.75" customHeight="1" x14ac:dyDescent="0.25">
      <c r="A962" s="40"/>
      <c r="B962" s="40"/>
      <c r="C962" s="40"/>
      <c r="D962" s="40"/>
      <c r="E962" s="41"/>
      <c r="F962" s="41"/>
      <c r="G962" s="40"/>
      <c r="H962" s="40"/>
      <c r="I962" s="40"/>
      <c r="J962" s="40"/>
      <c r="K962" s="40"/>
      <c r="L962" s="40"/>
    </row>
    <row r="963" spans="1:12" ht="15.75" customHeight="1" x14ac:dyDescent="0.25">
      <c r="A963" s="40"/>
      <c r="B963" s="40"/>
      <c r="C963" s="40"/>
      <c r="D963" s="40"/>
      <c r="E963" s="41"/>
      <c r="F963" s="41"/>
      <c r="G963" s="40"/>
      <c r="H963" s="40"/>
      <c r="I963" s="40"/>
      <c r="J963" s="40"/>
      <c r="K963" s="40"/>
      <c r="L963" s="40"/>
    </row>
    <row r="964" spans="1:12" ht="15.75" customHeight="1" x14ac:dyDescent="0.25">
      <c r="A964" s="40"/>
      <c r="B964" s="40"/>
      <c r="C964" s="40"/>
      <c r="D964" s="40"/>
      <c r="E964" s="41"/>
      <c r="F964" s="41"/>
      <c r="G964" s="40"/>
      <c r="H964" s="40"/>
      <c r="I964" s="40"/>
      <c r="J964" s="40"/>
      <c r="K964" s="40"/>
      <c r="L964" s="40"/>
    </row>
    <row r="965" spans="1:12" ht="15.75" customHeight="1" x14ac:dyDescent="0.25">
      <c r="A965" s="40"/>
      <c r="B965" s="40"/>
      <c r="C965" s="40"/>
      <c r="D965" s="40"/>
      <c r="E965" s="41"/>
      <c r="F965" s="41"/>
      <c r="G965" s="40"/>
      <c r="H965" s="40"/>
      <c r="I965" s="40"/>
      <c r="J965" s="40"/>
      <c r="K965" s="40"/>
      <c r="L965" s="40"/>
    </row>
    <row r="966" spans="1:12" ht="15.75" customHeight="1" x14ac:dyDescent="0.25">
      <c r="A966" s="40"/>
      <c r="B966" s="40"/>
      <c r="C966" s="40"/>
      <c r="D966" s="40"/>
      <c r="E966" s="41"/>
      <c r="F966" s="41"/>
      <c r="G966" s="40"/>
      <c r="H966" s="40"/>
      <c r="I966" s="40"/>
      <c r="J966" s="40"/>
      <c r="K966" s="40"/>
      <c r="L966" s="40"/>
    </row>
    <row r="967" spans="1:12" ht="15.75" customHeight="1" x14ac:dyDescent="0.25">
      <c r="A967" s="40"/>
      <c r="B967" s="40"/>
      <c r="C967" s="40"/>
      <c r="D967" s="40"/>
      <c r="E967" s="41"/>
      <c r="F967" s="41"/>
      <c r="G967" s="40"/>
      <c r="H967" s="40"/>
      <c r="I967" s="40"/>
      <c r="J967" s="40"/>
      <c r="K967" s="40"/>
      <c r="L967" s="40"/>
    </row>
    <row r="968" spans="1:12" ht="15.75" customHeight="1" x14ac:dyDescent="0.25">
      <c r="A968" s="40"/>
      <c r="B968" s="40"/>
      <c r="C968" s="40"/>
      <c r="D968" s="40"/>
      <c r="E968" s="41"/>
      <c r="F968" s="41"/>
      <c r="G968" s="40"/>
      <c r="H968" s="40"/>
      <c r="I968" s="40"/>
      <c r="J968" s="40"/>
      <c r="K968" s="40"/>
      <c r="L968" s="40"/>
    </row>
    <row r="969" spans="1:12" ht="15.75" customHeight="1" x14ac:dyDescent="0.25">
      <c r="A969" s="40"/>
      <c r="B969" s="40"/>
      <c r="C969" s="40"/>
      <c r="D969" s="40"/>
      <c r="E969" s="41"/>
      <c r="F969" s="41"/>
      <c r="G969" s="40"/>
      <c r="H969" s="40"/>
      <c r="I969" s="40"/>
      <c r="J969" s="40"/>
      <c r="K969" s="40"/>
      <c r="L969" s="40"/>
    </row>
    <row r="970" spans="1:12" ht="15.75" customHeight="1" x14ac:dyDescent="0.25">
      <c r="A970" s="40"/>
      <c r="B970" s="40"/>
      <c r="C970" s="40"/>
      <c r="D970" s="40"/>
      <c r="E970" s="41"/>
      <c r="F970" s="41"/>
      <c r="G970" s="40"/>
      <c r="H970" s="40"/>
      <c r="I970" s="40"/>
      <c r="J970" s="40"/>
      <c r="K970" s="40"/>
      <c r="L970" s="40"/>
    </row>
    <row r="971" spans="1:12" ht="15.75" customHeight="1" x14ac:dyDescent="0.25">
      <c r="A971" s="40"/>
      <c r="B971" s="40"/>
      <c r="C971" s="40"/>
      <c r="D971" s="40"/>
      <c r="E971" s="41"/>
      <c r="F971" s="41"/>
      <c r="G971" s="40"/>
      <c r="H971" s="40"/>
      <c r="I971" s="40"/>
      <c r="J971" s="40"/>
      <c r="K971" s="40"/>
      <c r="L971" s="40"/>
    </row>
    <row r="972" spans="1:12" ht="15.75" customHeight="1" x14ac:dyDescent="0.25">
      <c r="A972" s="40"/>
      <c r="B972" s="40"/>
      <c r="C972" s="40"/>
      <c r="D972" s="40"/>
      <c r="E972" s="41"/>
      <c r="F972" s="41"/>
      <c r="G972" s="40"/>
      <c r="H972" s="40"/>
      <c r="I972" s="40"/>
      <c r="J972" s="40"/>
      <c r="K972" s="40"/>
      <c r="L972" s="40"/>
    </row>
    <row r="973" spans="1:12" ht="15.75" customHeight="1" x14ac:dyDescent="0.25">
      <c r="A973" s="40"/>
      <c r="B973" s="40"/>
      <c r="C973" s="40"/>
      <c r="D973" s="40"/>
      <c r="E973" s="41"/>
      <c r="F973" s="41"/>
      <c r="G973" s="40"/>
      <c r="H973" s="40"/>
      <c r="I973" s="40"/>
      <c r="J973" s="40"/>
      <c r="K973" s="40"/>
      <c r="L973" s="40"/>
    </row>
    <row r="974" spans="1:12" ht="15.75" customHeight="1" x14ac:dyDescent="0.25">
      <c r="A974" s="40"/>
      <c r="B974" s="40"/>
      <c r="C974" s="40"/>
      <c r="D974" s="40"/>
      <c r="E974" s="41"/>
      <c r="F974" s="41"/>
      <c r="G974" s="40"/>
      <c r="H974" s="40"/>
      <c r="I974" s="40"/>
      <c r="J974" s="40"/>
      <c r="K974" s="40"/>
      <c r="L974" s="40"/>
    </row>
    <row r="975" spans="1:12" ht="15.75" customHeight="1" x14ac:dyDescent="0.25">
      <c r="A975" s="40"/>
      <c r="B975" s="40"/>
      <c r="C975" s="40"/>
      <c r="D975" s="40"/>
      <c r="E975" s="41"/>
      <c r="F975" s="41"/>
      <c r="G975" s="40"/>
      <c r="H975" s="40"/>
      <c r="I975" s="40"/>
      <c r="J975" s="40"/>
      <c r="K975" s="40"/>
      <c r="L975" s="40"/>
    </row>
    <row r="976" spans="1:12" ht="15.75" customHeight="1" x14ac:dyDescent="0.25">
      <c r="A976" s="40"/>
      <c r="B976" s="40"/>
      <c r="C976" s="40"/>
      <c r="D976" s="40"/>
      <c r="E976" s="41"/>
      <c r="F976" s="41"/>
      <c r="G976" s="40"/>
      <c r="H976" s="40"/>
      <c r="I976" s="40"/>
      <c r="J976" s="40"/>
      <c r="K976" s="40"/>
      <c r="L976" s="40"/>
    </row>
    <row r="977" spans="1:12" ht="15.75" customHeight="1" x14ac:dyDescent="0.25">
      <c r="A977" s="40"/>
      <c r="B977" s="40"/>
      <c r="C977" s="40"/>
      <c r="D977" s="40"/>
      <c r="E977" s="41"/>
      <c r="F977" s="41"/>
      <c r="G977" s="40"/>
      <c r="H977" s="40"/>
      <c r="I977" s="40"/>
      <c r="J977" s="40"/>
      <c r="K977" s="40"/>
      <c r="L977" s="40"/>
    </row>
    <row r="978" spans="1:12" ht="15.75" customHeight="1" x14ac:dyDescent="0.25">
      <c r="A978" s="40"/>
      <c r="B978" s="40"/>
      <c r="C978" s="40"/>
      <c r="D978" s="40"/>
      <c r="E978" s="41"/>
      <c r="F978" s="41"/>
      <c r="G978" s="40"/>
      <c r="H978" s="40"/>
      <c r="I978" s="40"/>
      <c r="J978" s="40"/>
      <c r="K978" s="40"/>
      <c r="L978" s="40"/>
    </row>
    <row r="979" spans="1:12" ht="15.75" customHeight="1" x14ac:dyDescent="0.25">
      <c r="A979" s="40"/>
      <c r="B979" s="40"/>
      <c r="C979" s="40"/>
      <c r="D979" s="40"/>
      <c r="E979" s="41"/>
      <c r="F979" s="41"/>
      <c r="G979" s="40"/>
      <c r="H979" s="40"/>
      <c r="I979" s="40"/>
      <c r="J979" s="40"/>
      <c r="K979" s="40"/>
      <c r="L979" s="40"/>
    </row>
    <row r="980" spans="1:12" ht="15.75" customHeight="1" x14ac:dyDescent="0.25">
      <c r="A980" s="40"/>
      <c r="B980" s="40"/>
      <c r="C980" s="40"/>
      <c r="D980" s="40"/>
      <c r="E980" s="41"/>
      <c r="F980" s="41"/>
      <c r="G980" s="40"/>
      <c r="H980" s="40"/>
      <c r="I980" s="40"/>
      <c r="J980" s="40"/>
      <c r="K980" s="40"/>
      <c r="L980" s="40"/>
    </row>
    <row r="981" spans="1:12" ht="15.75" customHeight="1" x14ac:dyDescent="0.25">
      <c r="A981" s="40"/>
      <c r="B981" s="40"/>
      <c r="C981" s="40"/>
      <c r="D981" s="40"/>
      <c r="E981" s="41"/>
      <c r="F981" s="41"/>
      <c r="G981" s="40"/>
      <c r="H981" s="40"/>
      <c r="I981" s="40"/>
      <c r="J981" s="40"/>
      <c r="K981" s="40"/>
      <c r="L981" s="40"/>
    </row>
    <row r="982" spans="1:12" ht="15.75" customHeight="1" x14ac:dyDescent="0.25">
      <c r="A982" s="40"/>
      <c r="B982" s="40"/>
      <c r="C982" s="40"/>
      <c r="D982" s="40"/>
      <c r="E982" s="41"/>
      <c r="F982" s="41"/>
      <c r="G982" s="40"/>
      <c r="H982" s="40"/>
      <c r="I982" s="40"/>
      <c r="J982" s="40"/>
      <c r="K982" s="40"/>
      <c r="L982" s="40"/>
    </row>
    <row r="983" spans="1:12" ht="15.75" customHeight="1" x14ac:dyDescent="0.25">
      <c r="A983" s="40"/>
      <c r="B983" s="40"/>
      <c r="C983" s="40"/>
      <c r="D983" s="40"/>
      <c r="E983" s="41"/>
      <c r="F983" s="41"/>
      <c r="G983" s="40"/>
      <c r="H983" s="40"/>
      <c r="I983" s="40"/>
      <c r="J983" s="40"/>
      <c r="K983" s="40"/>
      <c r="L983" s="40"/>
    </row>
    <row r="984" spans="1:12" ht="15.75" customHeight="1" x14ac:dyDescent="0.25">
      <c r="A984" s="40"/>
      <c r="B984" s="40"/>
      <c r="C984" s="40"/>
      <c r="D984" s="40"/>
      <c r="E984" s="41"/>
      <c r="F984" s="41"/>
      <c r="G984" s="40"/>
      <c r="H984" s="40"/>
      <c r="I984" s="40"/>
      <c r="J984" s="40"/>
      <c r="K984" s="40"/>
      <c r="L984" s="40"/>
    </row>
    <row r="985" spans="1:12" ht="15.75" customHeight="1" x14ac:dyDescent="0.25">
      <c r="A985" s="40"/>
      <c r="B985" s="40"/>
      <c r="C985" s="40"/>
      <c r="D985" s="40"/>
      <c r="E985" s="41"/>
      <c r="F985" s="41"/>
      <c r="G985" s="40"/>
      <c r="H985" s="40"/>
      <c r="I985" s="40"/>
      <c r="J985" s="40"/>
      <c r="K985" s="40"/>
      <c r="L985" s="40"/>
    </row>
    <row r="986" spans="1:12" ht="15.75" customHeight="1" x14ac:dyDescent="0.25">
      <c r="A986" s="40"/>
      <c r="B986" s="40"/>
      <c r="C986" s="40"/>
      <c r="D986" s="40"/>
      <c r="E986" s="41"/>
      <c r="F986" s="41"/>
      <c r="G986" s="40"/>
      <c r="H986" s="40"/>
      <c r="I986" s="40"/>
      <c r="J986" s="40"/>
      <c r="K986" s="40"/>
      <c r="L986" s="40"/>
    </row>
    <row r="987" spans="1:12" ht="15.75" customHeight="1" x14ac:dyDescent="0.25">
      <c r="A987" s="40"/>
      <c r="B987" s="40"/>
      <c r="C987" s="40"/>
      <c r="D987" s="40"/>
      <c r="E987" s="41"/>
      <c r="F987" s="41"/>
      <c r="G987" s="40"/>
      <c r="H987" s="40"/>
      <c r="I987" s="40"/>
      <c r="J987" s="40"/>
      <c r="K987" s="40"/>
      <c r="L987" s="40"/>
    </row>
    <row r="988" spans="1:12" ht="15.75" customHeight="1" x14ac:dyDescent="0.25">
      <c r="A988" s="40"/>
      <c r="B988" s="40"/>
      <c r="C988" s="40"/>
      <c r="D988" s="40"/>
      <c r="E988" s="41"/>
      <c r="F988" s="41"/>
      <c r="G988" s="40"/>
      <c r="H988" s="40"/>
      <c r="I988" s="40"/>
      <c r="J988" s="40"/>
      <c r="K988" s="40"/>
      <c r="L988" s="40"/>
    </row>
    <row r="989" spans="1:12" ht="15.75" customHeight="1" x14ac:dyDescent="0.25">
      <c r="A989" s="40"/>
      <c r="B989" s="40"/>
      <c r="C989" s="40"/>
      <c r="D989" s="40"/>
      <c r="E989" s="41"/>
      <c r="F989" s="41"/>
      <c r="G989" s="40"/>
      <c r="H989" s="40"/>
      <c r="I989" s="40"/>
      <c r="J989" s="40"/>
      <c r="K989" s="40"/>
      <c r="L989" s="40"/>
    </row>
    <row r="990" spans="1:12" ht="15.75" customHeight="1" x14ac:dyDescent="0.25">
      <c r="A990" s="40"/>
      <c r="B990" s="40"/>
      <c r="C990" s="40"/>
      <c r="D990" s="40"/>
      <c r="E990" s="41"/>
      <c r="F990" s="41"/>
      <c r="G990" s="40"/>
      <c r="H990" s="40"/>
      <c r="I990" s="40"/>
      <c r="J990" s="40"/>
      <c r="K990" s="40"/>
      <c r="L990" s="40"/>
    </row>
    <row r="991" spans="1:12" ht="15.75" customHeight="1" x14ac:dyDescent="0.25">
      <c r="A991" s="40"/>
      <c r="B991" s="40"/>
      <c r="C991" s="40"/>
      <c r="D991" s="40"/>
      <c r="E991" s="41"/>
      <c r="F991" s="41"/>
      <c r="G991" s="40"/>
      <c r="H991" s="40"/>
      <c r="I991" s="40"/>
      <c r="J991" s="40"/>
      <c r="K991" s="40"/>
      <c r="L991" s="40"/>
    </row>
    <row r="992" spans="1:12" ht="15.75" customHeight="1" x14ac:dyDescent="0.25">
      <c r="A992" s="40"/>
      <c r="B992" s="40"/>
      <c r="C992" s="40"/>
      <c r="D992" s="40"/>
      <c r="E992" s="41"/>
      <c r="F992" s="41"/>
      <c r="G992" s="40"/>
      <c r="H992" s="40"/>
      <c r="I992" s="40"/>
      <c r="J992" s="40"/>
      <c r="K992" s="40"/>
      <c r="L992" s="40"/>
    </row>
    <row r="993" spans="1:12" ht="15.75" customHeight="1" x14ac:dyDescent="0.25">
      <c r="A993" s="40"/>
      <c r="B993" s="40"/>
      <c r="C993" s="40"/>
      <c r="D993" s="40"/>
      <c r="E993" s="41"/>
      <c r="F993" s="41"/>
      <c r="G993" s="40"/>
      <c r="H993" s="40"/>
      <c r="I993" s="40"/>
      <c r="J993" s="40"/>
      <c r="K993" s="40"/>
      <c r="L993" s="40"/>
    </row>
    <row r="994" spans="1:12" ht="15.75" customHeight="1" x14ac:dyDescent="0.25">
      <c r="A994" s="40"/>
      <c r="B994" s="40"/>
      <c r="C994" s="40"/>
      <c r="D994" s="40"/>
      <c r="E994" s="41"/>
      <c r="F994" s="41"/>
      <c r="G994" s="40"/>
      <c r="H994" s="40"/>
      <c r="I994" s="40"/>
      <c r="J994" s="40"/>
      <c r="K994" s="40"/>
      <c r="L994" s="40"/>
    </row>
    <row r="995" spans="1:12" ht="15.75" customHeight="1" x14ac:dyDescent="0.25">
      <c r="A995" s="40"/>
      <c r="B995" s="40"/>
      <c r="C995" s="40"/>
      <c r="D995" s="40"/>
      <c r="E995" s="41"/>
      <c r="F995" s="41"/>
      <c r="G995" s="40"/>
      <c r="H995" s="40"/>
      <c r="I995" s="40"/>
      <c r="J995" s="40"/>
      <c r="K995" s="40"/>
      <c r="L995" s="40"/>
    </row>
    <row r="996" spans="1:12" ht="15.75" customHeight="1" x14ac:dyDescent="0.25">
      <c r="A996" s="40"/>
      <c r="B996" s="40"/>
      <c r="C996" s="40"/>
      <c r="D996" s="40"/>
      <c r="E996" s="41"/>
      <c r="F996" s="41"/>
      <c r="G996" s="40"/>
      <c r="H996" s="40"/>
      <c r="I996" s="40"/>
      <c r="J996" s="40"/>
      <c r="K996" s="40"/>
      <c r="L996" s="40"/>
    </row>
    <row r="997" spans="1:12" ht="15.75" customHeight="1" x14ac:dyDescent="0.25">
      <c r="A997" s="40"/>
      <c r="B997" s="40"/>
      <c r="C997" s="40"/>
      <c r="D997" s="40"/>
      <c r="E997" s="41"/>
      <c r="F997" s="41"/>
      <c r="G997" s="40"/>
      <c r="H997" s="40"/>
      <c r="I997" s="40"/>
      <c r="J997" s="40"/>
      <c r="K997" s="40"/>
      <c r="L997" s="40"/>
    </row>
    <row r="998" spans="1:12" ht="15.75" customHeight="1" x14ac:dyDescent="0.25">
      <c r="A998" s="40"/>
      <c r="B998" s="40"/>
      <c r="C998" s="40"/>
      <c r="D998" s="40"/>
      <c r="E998" s="41"/>
      <c r="F998" s="41"/>
      <c r="G998" s="40"/>
      <c r="H998" s="40"/>
      <c r="I998" s="40"/>
      <c r="J998" s="40"/>
      <c r="K998" s="40"/>
      <c r="L998" s="40"/>
    </row>
    <row r="999" spans="1:12" ht="15.75" customHeight="1" x14ac:dyDescent="0.25">
      <c r="A999" s="40"/>
      <c r="B999" s="40"/>
      <c r="C999" s="40"/>
      <c r="D999" s="40"/>
      <c r="E999" s="41"/>
      <c r="F999" s="41"/>
      <c r="G999" s="40"/>
      <c r="H999" s="40"/>
      <c r="I999" s="40"/>
      <c r="J999" s="40"/>
      <c r="K999" s="40"/>
      <c r="L999" s="40"/>
    </row>
    <row r="1000" spans="1:12" ht="15.75" customHeight="1" x14ac:dyDescent="0.25">
      <c r="A1000" s="40"/>
      <c r="B1000" s="40"/>
      <c r="C1000" s="40"/>
      <c r="D1000" s="40"/>
      <c r="E1000" s="41"/>
      <c r="F1000" s="41"/>
      <c r="G1000" s="40"/>
      <c r="H1000" s="40"/>
      <c r="I1000" s="40"/>
      <c r="J1000" s="40"/>
      <c r="K1000" s="40"/>
      <c r="L1000" s="40"/>
    </row>
    <row r="1001" spans="1:12" ht="15.75" customHeight="1" x14ac:dyDescent="0.25">
      <c r="A1001" s="40"/>
      <c r="B1001" s="40"/>
      <c r="C1001" s="40"/>
      <c r="D1001" s="40"/>
      <c r="E1001" s="41"/>
      <c r="F1001" s="41"/>
      <c r="G1001" s="40"/>
      <c r="H1001" s="40"/>
      <c r="I1001" s="40"/>
      <c r="J1001" s="40"/>
      <c r="K1001" s="40"/>
      <c r="L1001" s="40"/>
    </row>
    <row r="1002" spans="1:12" ht="15.75" customHeight="1" x14ac:dyDescent="0.25">
      <c r="A1002" s="40"/>
      <c r="B1002" s="40"/>
      <c r="C1002" s="40"/>
      <c r="D1002" s="40"/>
      <c r="E1002" s="41"/>
      <c r="F1002" s="41"/>
      <c r="G1002" s="40"/>
      <c r="H1002" s="40"/>
      <c r="I1002" s="40"/>
      <c r="J1002" s="40"/>
      <c r="K1002" s="40"/>
      <c r="L1002" s="40"/>
    </row>
    <row r="1003" spans="1:12" ht="15.75" customHeight="1" x14ac:dyDescent="0.25">
      <c r="A1003" s="40"/>
      <c r="B1003" s="40"/>
      <c r="C1003" s="40"/>
      <c r="D1003" s="40"/>
      <c r="E1003" s="41"/>
      <c r="F1003" s="41"/>
      <c r="G1003" s="40"/>
      <c r="H1003" s="40"/>
      <c r="I1003" s="40"/>
      <c r="J1003" s="40"/>
      <c r="K1003" s="40"/>
      <c r="L1003" s="40"/>
    </row>
    <row r="1004" spans="1:12" ht="15.75" customHeight="1" x14ac:dyDescent="0.25">
      <c r="A1004" s="40"/>
      <c r="B1004" s="40"/>
      <c r="C1004" s="40"/>
      <c r="D1004" s="40"/>
      <c r="E1004" s="41"/>
      <c r="F1004" s="41"/>
      <c r="G1004" s="40"/>
      <c r="H1004" s="40"/>
      <c r="I1004" s="40"/>
      <c r="J1004" s="40"/>
      <c r="K1004" s="40"/>
      <c r="L1004" s="40"/>
    </row>
    <row r="1005" spans="1:12" ht="15.75" customHeight="1" x14ac:dyDescent="0.25">
      <c r="A1005" s="40"/>
      <c r="B1005" s="40"/>
      <c r="C1005" s="40"/>
      <c r="D1005" s="40"/>
      <c r="E1005" s="41"/>
      <c r="F1005" s="41"/>
      <c r="G1005" s="40"/>
      <c r="H1005" s="40"/>
      <c r="I1005" s="40"/>
      <c r="J1005" s="40"/>
      <c r="K1005" s="40"/>
      <c r="L1005" s="40"/>
    </row>
    <row r="1006" spans="1:12" ht="15.75" customHeight="1" x14ac:dyDescent="0.25">
      <c r="A1006" s="40"/>
      <c r="B1006" s="40"/>
      <c r="C1006" s="40"/>
      <c r="D1006" s="40"/>
      <c r="E1006" s="41"/>
      <c r="F1006" s="41"/>
      <c r="G1006" s="40"/>
      <c r="H1006" s="40"/>
      <c r="I1006" s="40"/>
      <c r="J1006" s="40"/>
      <c r="K1006" s="40"/>
      <c r="L1006" s="40"/>
    </row>
    <row r="1007" spans="1:12" ht="15.75" customHeight="1" x14ac:dyDescent="0.25">
      <c r="A1007" s="40"/>
      <c r="B1007" s="40"/>
      <c r="C1007" s="40"/>
      <c r="D1007" s="40"/>
      <c r="E1007" s="41"/>
      <c r="F1007" s="41"/>
      <c r="G1007" s="40"/>
      <c r="H1007" s="40"/>
      <c r="I1007" s="40"/>
      <c r="J1007" s="40"/>
      <c r="K1007" s="40"/>
      <c r="L1007" s="40"/>
    </row>
    <row r="1008" spans="1:12" ht="15.75" customHeight="1" x14ac:dyDescent="0.25">
      <c r="A1008" s="40"/>
      <c r="B1008" s="40"/>
      <c r="C1008" s="40"/>
      <c r="D1008" s="40"/>
      <c r="E1008" s="41"/>
      <c r="F1008" s="41"/>
      <c r="G1008" s="40"/>
      <c r="H1008" s="40"/>
      <c r="I1008" s="40"/>
      <c r="J1008" s="40"/>
      <c r="K1008" s="40"/>
      <c r="L1008" s="40"/>
    </row>
    <row r="1009" spans="1:12" ht="15.75" customHeight="1" x14ac:dyDescent="0.25">
      <c r="A1009" s="40"/>
      <c r="B1009" s="40"/>
      <c r="C1009" s="40"/>
      <c r="D1009" s="40"/>
      <c r="E1009" s="41"/>
      <c r="F1009" s="41"/>
      <c r="G1009" s="40"/>
      <c r="H1009" s="40"/>
      <c r="I1009" s="40"/>
      <c r="J1009" s="40"/>
      <c r="K1009" s="40"/>
      <c r="L1009" s="40"/>
    </row>
    <row r="1010" spans="1:12" ht="15.75" customHeight="1" x14ac:dyDescent="0.25">
      <c r="A1010" s="40"/>
      <c r="B1010" s="40"/>
      <c r="C1010" s="40"/>
      <c r="D1010" s="40"/>
      <c r="E1010" s="41"/>
      <c r="F1010" s="41"/>
      <c r="G1010" s="40"/>
      <c r="H1010" s="40"/>
      <c r="I1010" s="40"/>
      <c r="J1010" s="40"/>
      <c r="K1010" s="40"/>
      <c r="L1010" s="40"/>
    </row>
    <row r="1011" spans="1:12" ht="15.75" customHeight="1" x14ac:dyDescent="0.25">
      <c r="A1011" s="40"/>
      <c r="B1011" s="40"/>
      <c r="C1011" s="40"/>
      <c r="D1011" s="40"/>
      <c r="E1011" s="41"/>
      <c r="F1011" s="41"/>
      <c r="G1011" s="40"/>
      <c r="H1011" s="40"/>
      <c r="I1011" s="40"/>
      <c r="J1011" s="40"/>
      <c r="K1011" s="40"/>
      <c r="L1011" s="40"/>
    </row>
    <row r="1012" spans="1:12" ht="15.75" customHeight="1" x14ac:dyDescent="0.25">
      <c r="A1012" s="40"/>
      <c r="B1012" s="40"/>
      <c r="C1012" s="40"/>
      <c r="D1012" s="40"/>
      <c r="E1012" s="41"/>
      <c r="F1012" s="41"/>
      <c r="G1012" s="40"/>
      <c r="H1012" s="40"/>
      <c r="I1012" s="40"/>
      <c r="J1012" s="40"/>
      <c r="K1012" s="40"/>
      <c r="L1012" s="40"/>
    </row>
    <row r="1013" spans="1:12" ht="15.75" customHeight="1" x14ac:dyDescent="0.25">
      <c r="A1013" s="40"/>
      <c r="B1013" s="40"/>
      <c r="C1013" s="40"/>
      <c r="D1013" s="40"/>
      <c r="E1013" s="41"/>
      <c r="F1013" s="41"/>
      <c r="G1013" s="40"/>
      <c r="H1013" s="40"/>
      <c r="I1013" s="40"/>
      <c r="J1013" s="40"/>
      <c r="K1013" s="40"/>
      <c r="L1013" s="40"/>
    </row>
    <row r="1014" spans="1:12" ht="15.75" customHeight="1" x14ac:dyDescent="0.25">
      <c r="A1014" s="40"/>
      <c r="B1014" s="40"/>
      <c r="C1014" s="40"/>
      <c r="D1014" s="40"/>
      <c r="E1014" s="41"/>
      <c r="F1014" s="41"/>
      <c r="G1014" s="40"/>
      <c r="H1014" s="40"/>
      <c r="I1014" s="40"/>
      <c r="J1014" s="40"/>
      <c r="K1014" s="40"/>
      <c r="L1014" s="40"/>
    </row>
    <row r="1015" spans="1:12" ht="15.75" customHeight="1" x14ac:dyDescent="0.25">
      <c r="A1015" s="40"/>
      <c r="B1015" s="40"/>
      <c r="C1015" s="40"/>
      <c r="D1015" s="40"/>
      <c r="E1015" s="41"/>
      <c r="F1015" s="41"/>
      <c r="G1015" s="40"/>
      <c r="H1015" s="40"/>
      <c r="I1015" s="40"/>
      <c r="J1015" s="40"/>
      <c r="K1015" s="40"/>
      <c r="L1015" s="40"/>
    </row>
    <row r="1016" spans="1:12" ht="15.75" customHeight="1" x14ac:dyDescent="0.25">
      <c r="A1016" s="40"/>
      <c r="B1016" s="40"/>
      <c r="C1016" s="40"/>
      <c r="D1016" s="40"/>
      <c r="E1016" s="41"/>
      <c r="F1016" s="41"/>
      <c r="G1016" s="40"/>
      <c r="H1016" s="40"/>
      <c r="I1016" s="40"/>
      <c r="J1016" s="40"/>
      <c r="K1016" s="40"/>
      <c r="L1016" s="40"/>
    </row>
    <row r="1017" spans="1:12" ht="15.75" customHeight="1" x14ac:dyDescent="0.25">
      <c r="A1017" s="40"/>
      <c r="B1017" s="40"/>
      <c r="C1017" s="40"/>
      <c r="D1017" s="40"/>
      <c r="E1017" s="41"/>
      <c r="F1017" s="41"/>
      <c r="G1017" s="40"/>
      <c r="H1017" s="40"/>
      <c r="I1017" s="40"/>
      <c r="J1017" s="40"/>
      <c r="K1017" s="40"/>
      <c r="L1017" s="40"/>
    </row>
    <row r="1018" spans="1:12" ht="15.75" customHeight="1" x14ac:dyDescent="0.25">
      <c r="A1018" s="40"/>
      <c r="B1018" s="40"/>
      <c r="C1018" s="40"/>
      <c r="D1018" s="40"/>
      <c r="E1018" s="41"/>
      <c r="F1018" s="41"/>
      <c r="G1018" s="40"/>
      <c r="H1018" s="40"/>
      <c r="I1018" s="40"/>
      <c r="J1018" s="40"/>
      <c r="K1018" s="40"/>
      <c r="L1018" s="40"/>
    </row>
    <row r="1019" spans="1:12" ht="15.75" customHeight="1" x14ac:dyDescent="0.25">
      <c r="A1019" s="40"/>
      <c r="B1019" s="40"/>
      <c r="C1019" s="40"/>
      <c r="D1019" s="40"/>
      <c r="E1019" s="41"/>
      <c r="F1019" s="41"/>
      <c r="G1019" s="40"/>
      <c r="H1019" s="40"/>
      <c r="I1019" s="40"/>
      <c r="J1019" s="40"/>
      <c r="K1019" s="40"/>
      <c r="L1019" s="40"/>
    </row>
    <row r="1020" spans="1:12" ht="15.75" customHeight="1" x14ac:dyDescent="0.25">
      <c r="A1020" s="40"/>
      <c r="B1020" s="40"/>
      <c r="C1020" s="40"/>
      <c r="D1020" s="40"/>
      <c r="E1020" s="41"/>
      <c r="F1020" s="41"/>
      <c r="G1020" s="40"/>
      <c r="H1020" s="40"/>
      <c r="I1020" s="40"/>
      <c r="J1020" s="40"/>
      <c r="K1020" s="40"/>
      <c r="L1020" s="40"/>
    </row>
    <row r="1021" spans="1:12" ht="15.75" customHeight="1" x14ac:dyDescent="0.25">
      <c r="A1021" s="40"/>
      <c r="B1021" s="40"/>
      <c r="C1021" s="40"/>
      <c r="D1021" s="40"/>
      <c r="E1021" s="41"/>
      <c r="F1021" s="41"/>
      <c r="G1021" s="40"/>
      <c r="H1021" s="40"/>
      <c r="I1021" s="40"/>
      <c r="J1021" s="40"/>
      <c r="K1021" s="40"/>
      <c r="L1021" s="40"/>
    </row>
    <row r="1022" spans="1:12" ht="15.75" customHeight="1" x14ac:dyDescent="0.25">
      <c r="A1022" s="40"/>
      <c r="B1022" s="40"/>
      <c r="C1022" s="40"/>
      <c r="D1022" s="40"/>
      <c r="E1022" s="41"/>
      <c r="F1022" s="41"/>
      <c r="G1022" s="40"/>
      <c r="H1022" s="40"/>
      <c r="I1022" s="40"/>
      <c r="J1022" s="40"/>
      <c r="K1022" s="40"/>
      <c r="L1022" s="40"/>
    </row>
    <row r="1023" spans="1:12" ht="15.75" customHeight="1" x14ac:dyDescent="0.25">
      <c r="A1023" s="40"/>
      <c r="B1023" s="40"/>
      <c r="C1023" s="40"/>
      <c r="D1023" s="40"/>
      <c r="E1023" s="41"/>
      <c r="F1023" s="41"/>
      <c r="G1023" s="40"/>
      <c r="H1023" s="40"/>
      <c r="I1023" s="40"/>
      <c r="J1023" s="40"/>
      <c r="K1023" s="40"/>
      <c r="L1023" s="40"/>
    </row>
    <row r="1024" spans="1:12" ht="15.75" customHeight="1" x14ac:dyDescent="0.25">
      <c r="A1024" s="40"/>
      <c r="B1024" s="40"/>
      <c r="C1024" s="40"/>
      <c r="D1024" s="40"/>
      <c r="E1024" s="41"/>
      <c r="F1024" s="41"/>
      <c r="G1024" s="40"/>
      <c r="H1024" s="40"/>
      <c r="I1024" s="40"/>
      <c r="J1024" s="40"/>
      <c r="K1024" s="40"/>
      <c r="L1024" s="40"/>
    </row>
    <row r="1025" spans="1:12" ht="15.75" customHeight="1" x14ac:dyDescent="0.25">
      <c r="A1025" s="40"/>
      <c r="B1025" s="40"/>
      <c r="C1025" s="40"/>
      <c r="D1025" s="40"/>
      <c r="E1025" s="41"/>
      <c r="F1025" s="41"/>
      <c r="G1025" s="40"/>
      <c r="H1025" s="40"/>
      <c r="I1025" s="40"/>
      <c r="J1025" s="40"/>
      <c r="K1025" s="40"/>
      <c r="L1025" s="40"/>
    </row>
    <row r="1026" spans="1:12" ht="15.75" customHeight="1" x14ac:dyDescent="0.25">
      <c r="A1026" s="40"/>
      <c r="B1026" s="40"/>
      <c r="C1026" s="40"/>
      <c r="D1026" s="40"/>
      <c r="E1026" s="41"/>
      <c r="F1026" s="41"/>
      <c r="G1026" s="40"/>
      <c r="H1026" s="40"/>
      <c r="I1026" s="40"/>
      <c r="J1026" s="40"/>
      <c r="K1026" s="40"/>
      <c r="L1026" s="40"/>
    </row>
    <row r="1027" spans="1:12" ht="15.75" customHeight="1" x14ac:dyDescent="0.25">
      <c r="A1027" s="40"/>
      <c r="B1027" s="40"/>
      <c r="C1027" s="40"/>
      <c r="D1027" s="40"/>
      <c r="E1027" s="41"/>
      <c r="F1027" s="41"/>
      <c r="G1027" s="40"/>
      <c r="H1027" s="40"/>
      <c r="I1027" s="40"/>
      <c r="J1027" s="40"/>
      <c r="K1027" s="40"/>
      <c r="L1027" s="40"/>
    </row>
    <row r="1028" spans="1:12" ht="15.75" customHeight="1" x14ac:dyDescent="0.25">
      <c r="A1028" s="40"/>
      <c r="B1028" s="40"/>
      <c r="C1028" s="40"/>
      <c r="D1028" s="40"/>
      <c r="E1028" s="41"/>
      <c r="F1028" s="41"/>
      <c r="G1028" s="40"/>
      <c r="H1028" s="40"/>
      <c r="I1028" s="40"/>
      <c r="J1028" s="40"/>
      <c r="K1028" s="40"/>
      <c r="L1028" s="40"/>
    </row>
    <row r="1029" spans="1:12" ht="15.75" customHeight="1" x14ac:dyDescent="0.25">
      <c r="A1029" s="40"/>
      <c r="B1029" s="40"/>
      <c r="C1029" s="40"/>
      <c r="D1029" s="40"/>
      <c r="E1029" s="41"/>
      <c r="F1029" s="41"/>
      <c r="G1029" s="40"/>
      <c r="H1029" s="40"/>
      <c r="I1029" s="40"/>
      <c r="J1029" s="40"/>
      <c r="K1029" s="40"/>
      <c r="L1029" s="40"/>
    </row>
    <row r="1030" spans="1:12" ht="15.75" customHeight="1" x14ac:dyDescent="0.25">
      <c r="A1030" s="40"/>
      <c r="B1030" s="40"/>
      <c r="C1030" s="40"/>
      <c r="D1030" s="40"/>
      <c r="E1030" s="41"/>
      <c r="F1030" s="41"/>
      <c r="G1030" s="40"/>
      <c r="H1030" s="40"/>
      <c r="I1030" s="40"/>
      <c r="J1030" s="40"/>
      <c r="K1030" s="40"/>
      <c r="L1030" s="40"/>
    </row>
    <row r="1031" spans="1:12" ht="15.75" customHeight="1" x14ac:dyDescent="0.25">
      <c r="A1031" s="40"/>
      <c r="B1031" s="40"/>
      <c r="C1031" s="40"/>
      <c r="D1031" s="40"/>
      <c r="E1031" s="41"/>
      <c r="F1031" s="41"/>
      <c r="G1031" s="40"/>
      <c r="H1031" s="40"/>
      <c r="I1031" s="40"/>
      <c r="J1031" s="40"/>
      <c r="K1031" s="40"/>
      <c r="L1031" s="40"/>
    </row>
    <row r="1032" spans="1:12" ht="15.75" customHeight="1" x14ac:dyDescent="0.25">
      <c r="A1032" s="40"/>
      <c r="B1032" s="40"/>
      <c r="C1032" s="40"/>
      <c r="D1032" s="40"/>
      <c r="E1032" s="41"/>
      <c r="F1032" s="41"/>
      <c r="G1032" s="40"/>
      <c r="H1032" s="40"/>
      <c r="I1032" s="40"/>
      <c r="J1032" s="40"/>
      <c r="K1032" s="40"/>
      <c r="L1032" s="40"/>
    </row>
    <row r="1033" spans="1:12" ht="15.75" customHeight="1" x14ac:dyDescent="0.25">
      <c r="A1033" s="40"/>
      <c r="B1033" s="40"/>
      <c r="C1033" s="40"/>
      <c r="D1033" s="40"/>
      <c r="E1033" s="41"/>
      <c r="F1033" s="41"/>
      <c r="G1033" s="40"/>
      <c r="H1033" s="40"/>
      <c r="I1033" s="40"/>
      <c r="J1033" s="40"/>
      <c r="K1033" s="40"/>
      <c r="L1033" s="40"/>
    </row>
    <row r="1034" spans="1:12" ht="15.75" customHeight="1" x14ac:dyDescent="0.25">
      <c r="A1034" s="40"/>
      <c r="B1034" s="40"/>
      <c r="C1034" s="40"/>
      <c r="D1034" s="40"/>
      <c r="E1034" s="41"/>
      <c r="F1034" s="41"/>
      <c r="G1034" s="40"/>
      <c r="H1034" s="40"/>
      <c r="I1034" s="40"/>
      <c r="J1034" s="40"/>
      <c r="K1034" s="40"/>
      <c r="L1034" s="40"/>
    </row>
    <row r="1035" spans="1:12" ht="15.75" customHeight="1" x14ac:dyDescent="0.25">
      <c r="A1035" s="40"/>
      <c r="B1035" s="40"/>
      <c r="C1035" s="40"/>
      <c r="D1035" s="40"/>
      <c r="E1035" s="41"/>
      <c r="F1035" s="41"/>
      <c r="G1035" s="40"/>
      <c r="H1035" s="40"/>
      <c r="I1035" s="40"/>
      <c r="J1035" s="40"/>
      <c r="K1035" s="40"/>
      <c r="L1035" s="40"/>
    </row>
    <row r="1036" spans="1:12" ht="15.75" customHeight="1" x14ac:dyDescent="0.25">
      <c r="A1036" s="40"/>
      <c r="B1036" s="40"/>
      <c r="C1036" s="40"/>
      <c r="D1036" s="40"/>
      <c r="E1036" s="41"/>
      <c r="F1036" s="41"/>
      <c r="G1036" s="40"/>
      <c r="H1036" s="40"/>
      <c r="I1036" s="40"/>
      <c r="J1036" s="40"/>
      <c r="K1036" s="40"/>
      <c r="L1036" s="40"/>
    </row>
    <row r="1037" spans="1:12" ht="15.75" customHeight="1" x14ac:dyDescent="0.25">
      <c r="A1037" s="40"/>
      <c r="B1037" s="40"/>
      <c r="C1037" s="40"/>
      <c r="D1037" s="40"/>
      <c r="E1037" s="41"/>
      <c r="F1037" s="41"/>
      <c r="G1037" s="40"/>
      <c r="H1037" s="40"/>
      <c r="I1037" s="40"/>
      <c r="J1037" s="40"/>
      <c r="K1037" s="40"/>
      <c r="L1037" s="40"/>
    </row>
    <row r="1038" spans="1:12" ht="15.75" customHeight="1" x14ac:dyDescent="0.25">
      <c r="A1038" s="40"/>
      <c r="B1038" s="40"/>
      <c r="C1038" s="40"/>
      <c r="D1038" s="40"/>
      <c r="E1038" s="41"/>
      <c r="F1038" s="41"/>
      <c r="G1038" s="40"/>
      <c r="H1038" s="40"/>
      <c r="I1038" s="40"/>
      <c r="J1038" s="40"/>
      <c r="K1038" s="40"/>
      <c r="L1038" s="40"/>
    </row>
    <row r="1039" spans="1:12" ht="15.75" customHeight="1" x14ac:dyDescent="0.25">
      <c r="A1039" s="40"/>
      <c r="B1039" s="40"/>
      <c r="C1039" s="40"/>
      <c r="D1039" s="40"/>
      <c r="E1039" s="41"/>
      <c r="F1039" s="41"/>
      <c r="G1039" s="40"/>
      <c r="H1039" s="40"/>
      <c r="I1039" s="40"/>
      <c r="J1039" s="40"/>
      <c r="K1039" s="40"/>
      <c r="L1039" s="40"/>
    </row>
    <row r="1040" spans="1:12" ht="15.75" customHeight="1" x14ac:dyDescent="0.25">
      <c r="A1040" s="40"/>
      <c r="B1040" s="40"/>
      <c r="C1040" s="40"/>
      <c r="D1040" s="40"/>
      <c r="E1040" s="41"/>
      <c r="F1040" s="41"/>
      <c r="G1040" s="40"/>
      <c r="H1040" s="40"/>
      <c r="I1040" s="40"/>
      <c r="J1040" s="40"/>
      <c r="K1040" s="40"/>
      <c r="L1040" s="40"/>
    </row>
    <row r="1041" spans="1:12" ht="15.75" customHeight="1" x14ac:dyDescent="0.25">
      <c r="A1041" s="40"/>
      <c r="B1041" s="40"/>
      <c r="C1041" s="40"/>
      <c r="D1041" s="40"/>
      <c r="E1041" s="41"/>
      <c r="F1041" s="41"/>
      <c r="G1041" s="40"/>
      <c r="H1041" s="40"/>
      <c r="I1041" s="40"/>
      <c r="J1041" s="40"/>
      <c r="K1041" s="40"/>
      <c r="L1041" s="40"/>
    </row>
    <row r="1042" spans="1:12" ht="15.75" customHeight="1" x14ac:dyDescent="0.25">
      <c r="A1042" s="40"/>
      <c r="B1042" s="40"/>
      <c r="C1042" s="40"/>
      <c r="D1042" s="40"/>
      <c r="E1042" s="41"/>
      <c r="F1042" s="41"/>
      <c r="G1042" s="40"/>
      <c r="H1042" s="40"/>
      <c r="I1042" s="40"/>
      <c r="J1042" s="40"/>
      <c r="K1042" s="40"/>
      <c r="L1042" s="40"/>
    </row>
    <row r="1043" spans="1:12" ht="15.75" customHeight="1" x14ac:dyDescent="0.25">
      <c r="A1043" s="40"/>
      <c r="B1043" s="40"/>
      <c r="C1043" s="40"/>
      <c r="D1043" s="40"/>
      <c r="E1043" s="41"/>
      <c r="F1043" s="41"/>
      <c r="G1043" s="40"/>
      <c r="H1043" s="40"/>
      <c r="I1043" s="40"/>
      <c r="J1043" s="40"/>
      <c r="K1043" s="40"/>
      <c r="L1043" s="40"/>
    </row>
    <row r="1044" spans="1:12" ht="15.75" customHeight="1" x14ac:dyDescent="0.25">
      <c r="A1044" s="40"/>
      <c r="B1044" s="40"/>
      <c r="C1044" s="40"/>
      <c r="D1044" s="40"/>
      <c r="E1044" s="41"/>
      <c r="F1044" s="41"/>
      <c r="G1044" s="40"/>
      <c r="H1044" s="40"/>
      <c r="I1044" s="40"/>
      <c r="J1044" s="40"/>
      <c r="K1044" s="40"/>
      <c r="L1044" s="40"/>
    </row>
    <row r="1045" spans="1:12" ht="15.75" customHeight="1" x14ac:dyDescent="0.25">
      <c r="A1045" s="40"/>
      <c r="B1045" s="40"/>
      <c r="C1045" s="40"/>
      <c r="D1045" s="40"/>
      <c r="E1045" s="41"/>
      <c r="F1045" s="41"/>
      <c r="G1045" s="40"/>
      <c r="H1045" s="40"/>
      <c r="I1045" s="40"/>
      <c r="J1045" s="40"/>
      <c r="K1045" s="40"/>
      <c r="L1045" s="40"/>
    </row>
    <row r="1046" spans="1:12" ht="15.75" customHeight="1" x14ac:dyDescent="0.25">
      <c r="A1046" s="40"/>
      <c r="B1046" s="40"/>
      <c r="C1046" s="40"/>
      <c r="D1046" s="40"/>
      <c r="E1046" s="41"/>
      <c r="F1046" s="41"/>
      <c r="G1046" s="40"/>
      <c r="H1046" s="40"/>
      <c r="I1046" s="40"/>
      <c r="J1046" s="40"/>
      <c r="K1046" s="40"/>
      <c r="L1046" s="40"/>
    </row>
    <row r="1047" spans="1:12" ht="15.75" customHeight="1" x14ac:dyDescent="0.25">
      <c r="A1047" s="40"/>
      <c r="B1047" s="40"/>
      <c r="C1047" s="40"/>
      <c r="D1047" s="40"/>
      <c r="E1047" s="41"/>
      <c r="F1047" s="41"/>
      <c r="G1047" s="40"/>
      <c r="H1047" s="40"/>
      <c r="I1047" s="40"/>
      <c r="J1047" s="40"/>
      <c r="K1047" s="40"/>
      <c r="L1047" s="40"/>
    </row>
    <row r="1048" spans="1:12" ht="15.75" customHeight="1" x14ac:dyDescent="0.25">
      <c r="A1048" s="40"/>
      <c r="B1048" s="40"/>
      <c r="C1048" s="40"/>
      <c r="D1048" s="40"/>
      <c r="E1048" s="41"/>
      <c r="F1048" s="41"/>
      <c r="G1048" s="40"/>
      <c r="H1048" s="40"/>
      <c r="I1048" s="40"/>
      <c r="J1048" s="40"/>
      <c r="K1048" s="40"/>
      <c r="L1048" s="40"/>
    </row>
    <row r="1049" spans="1:12" ht="15.75" customHeight="1" x14ac:dyDescent="0.25">
      <c r="A1049" s="40"/>
      <c r="B1049" s="40"/>
      <c r="C1049" s="40"/>
      <c r="D1049" s="40"/>
      <c r="E1049" s="41"/>
      <c r="F1049" s="41"/>
      <c r="G1049" s="40"/>
      <c r="H1049" s="40"/>
      <c r="I1049" s="40"/>
      <c r="J1049" s="40"/>
      <c r="K1049" s="40"/>
      <c r="L1049" s="40"/>
    </row>
    <row r="1050" spans="1:12" ht="15.75" customHeight="1" x14ac:dyDescent="0.25">
      <c r="A1050" s="40"/>
      <c r="B1050" s="40"/>
      <c r="C1050" s="40"/>
      <c r="D1050" s="40"/>
      <c r="E1050" s="41"/>
      <c r="F1050" s="41"/>
      <c r="G1050" s="40"/>
      <c r="H1050" s="40"/>
      <c r="I1050" s="40"/>
      <c r="J1050" s="40"/>
      <c r="K1050" s="40"/>
      <c r="L1050" s="40"/>
    </row>
    <row r="1051" spans="1:12" ht="15.75" customHeight="1" x14ac:dyDescent="0.25">
      <c r="A1051" s="40"/>
      <c r="B1051" s="40"/>
      <c r="C1051" s="40"/>
      <c r="D1051" s="40"/>
      <c r="E1051" s="41"/>
      <c r="F1051" s="41"/>
      <c r="G1051" s="40"/>
      <c r="H1051" s="40"/>
      <c r="I1051" s="40"/>
      <c r="J1051" s="40"/>
      <c r="K1051" s="40"/>
      <c r="L1051" s="40"/>
    </row>
    <row r="1052" spans="1:12" ht="15.75" customHeight="1" x14ac:dyDescent="0.25">
      <c r="A1052" s="40"/>
      <c r="B1052" s="40"/>
      <c r="C1052" s="40"/>
      <c r="D1052" s="40"/>
      <c r="E1052" s="41"/>
      <c r="F1052" s="41"/>
      <c r="G1052" s="40"/>
      <c r="H1052" s="40"/>
      <c r="I1052" s="40"/>
      <c r="J1052" s="40"/>
      <c r="K1052" s="40"/>
      <c r="L1052" s="40"/>
    </row>
    <row r="1053" spans="1:12" ht="15.75" customHeight="1" x14ac:dyDescent="0.25">
      <c r="A1053" s="40"/>
      <c r="B1053" s="40"/>
      <c r="C1053" s="40"/>
      <c r="D1053" s="40"/>
      <c r="E1053" s="41"/>
      <c r="F1053" s="41"/>
      <c r="G1053" s="40"/>
      <c r="H1053" s="40"/>
      <c r="I1053" s="40"/>
      <c r="J1053" s="40"/>
      <c r="K1053" s="40"/>
      <c r="L1053" s="40"/>
    </row>
    <row r="1054" spans="1:12" ht="15.75" customHeight="1" x14ac:dyDescent="0.25">
      <c r="A1054" s="40"/>
      <c r="B1054" s="40"/>
      <c r="C1054" s="40"/>
      <c r="D1054" s="40"/>
      <c r="E1054" s="41"/>
      <c r="F1054" s="41"/>
      <c r="G1054" s="40"/>
      <c r="H1054" s="40"/>
      <c r="I1054" s="40"/>
      <c r="J1054" s="40"/>
      <c r="K1054" s="40"/>
      <c r="L1054" s="40"/>
    </row>
    <row r="1055" spans="1:12" ht="15.75" customHeight="1" x14ac:dyDescent="0.25">
      <c r="A1055" s="40"/>
      <c r="B1055" s="40"/>
      <c r="C1055" s="40"/>
      <c r="D1055" s="40"/>
      <c r="E1055" s="41"/>
      <c r="F1055" s="41"/>
      <c r="G1055" s="40"/>
      <c r="H1055" s="40"/>
      <c r="I1055" s="40"/>
      <c r="J1055" s="40"/>
      <c r="K1055" s="40"/>
      <c r="L1055" s="40"/>
    </row>
    <row r="1056" spans="1:12" ht="15.75" customHeight="1" x14ac:dyDescent="0.25">
      <c r="A1056" s="40"/>
      <c r="B1056" s="40"/>
      <c r="C1056" s="40"/>
      <c r="D1056" s="40"/>
      <c r="E1056" s="41"/>
      <c r="F1056" s="41"/>
      <c r="G1056" s="40"/>
      <c r="H1056" s="40"/>
      <c r="I1056" s="40"/>
      <c r="J1056" s="40"/>
      <c r="K1056" s="40"/>
      <c r="L1056" s="40"/>
    </row>
    <row r="1057" spans="1:12" ht="15.75" customHeight="1" x14ac:dyDescent="0.25">
      <c r="A1057" s="40"/>
      <c r="B1057" s="40"/>
      <c r="C1057" s="40"/>
      <c r="D1057" s="40"/>
      <c r="E1057" s="41"/>
      <c r="F1057" s="41"/>
      <c r="G1057" s="40"/>
      <c r="H1057" s="40"/>
      <c r="I1057" s="40"/>
      <c r="J1057" s="40"/>
      <c r="K1057" s="40"/>
      <c r="L1057" s="40"/>
    </row>
    <row r="1058" spans="1:12" ht="15.75" customHeight="1" x14ac:dyDescent="0.25">
      <c r="A1058" s="40"/>
      <c r="B1058" s="40"/>
      <c r="C1058" s="40"/>
      <c r="D1058" s="40"/>
      <c r="E1058" s="41"/>
      <c r="F1058" s="41"/>
      <c r="G1058" s="40"/>
      <c r="H1058" s="40"/>
      <c r="I1058" s="40"/>
      <c r="J1058" s="40"/>
      <c r="K1058" s="40"/>
      <c r="L1058" s="40"/>
    </row>
    <row r="1059" spans="1:12" ht="15.75" customHeight="1" x14ac:dyDescent="0.25">
      <c r="A1059" s="40"/>
      <c r="B1059" s="40"/>
      <c r="C1059" s="40"/>
      <c r="D1059" s="40"/>
      <c r="E1059" s="41"/>
      <c r="F1059" s="41"/>
      <c r="G1059" s="40"/>
      <c r="H1059" s="40"/>
      <c r="I1059" s="40"/>
      <c r="J1059" s="40"/>
      <c r="K1059" s="40"/>
      <c r="L1059" s="40"/>
    </row>
    <row r="1060" spans="1:12" ht="15.75" customHeight="1" x14ac:dyDescent="0.25">
      <c r="A1060" s="40"/>
      <c r="B1060" s="40"/>
      <c r="C1060" s="40"/>
      <c r="D1060" s="40"/>
      <c r="E1060" s="41"/>
      <c r="F1060" s="41"/>
      <c r="G1060" s="40"/>
      <c r="H1060" s="40"/>
      <c r="I1060" s="40"/>
      <c r="J1060" s="40"/>
      <c r="K1060" s="40"/>
      <c r="L1060" s="40"/>
    </row>
    <row r="1061" spans="1:12" ht="15.75" customHeight="1" x14ac:dyDescent="0.25">
      <c r="A1061" s="40"/>
      <c r="B1061" s="40"/>
      <c r="C1061" s="40"/>
      <c r="D1061" s="40"/>
      <c r="E1061" s="41"/>
      <c r="F1061" s="41"/>
      <c r="G1061" s="40"/>
      <c r="H1061" s="40"/>
      <c r="I1061" s="40"/>
      <c r="J1061" s="40"/>
      <c r="K1061" s="40"/>
      <c r="L1061" s="40"/>
    </row>
    <row r="1062" spans="1:12" ht="15.75" customHeight="1" x14ac:dyDescent="0.25">
      <c r="A1062" s="40"/>
      <c r="B1062" s="40"/>
      <c r="C1062" s="40"/>
      <c r="D1062" s="40"/>
      <c r="E1062" s="41"/>
      <c r="F1062" s="41"/>
      <c r="G1062" s="40"/>
      <c r="H1062" s="40"/>
      <c r="I1062" s="40"/>
      <c r="J1062" s="40"/>
      <c r="K1062" s="40"/>
      <c r="L1062" s="40"/>
    </row>
    <row r="1063" spans="1:12" ht="15.75" customHeight="1" x14ac:dyDescent="0.25">
      <c r="A1063" s="40"/>
      <c r="B1063" s="40"/>
      <c r="C1063" s="40"/>
      <c r="D1063" s="40"/>
      <c r="E1063" s="41"/>
      <c r="F1063" s="41"/>
      <c r="G1063" s="40"/>
      <c r="H1063" s="40"/>
      <c r="I1063" s="40"/>
      <c r="J1063" s="40"/>
      <c r="K1063" s="40"/>
      <c r="L1063" s="40"/>
    </row>
    <row r="1064" spans="1:12" ht="15.75" customHeight="1" x14ac:dyDescent="0.25">
      <c r="A1064" s="40"/>
      <c r="B1064" s="40"/>
      <c r="C1064" s="40"/>
      <c r="D1064" s="40"/>
      <c r="E1064" s="41"/>
      <c r="F1064" s="41"/>
      <c r="G1064" s="40"/>
      <c r="H1064" s="40"/>
      <c r="I1064" s="40"/>
      <c r="J1064" s="40"/>
      <c r="K1064" s="40"/>
      <c r="L1064" s="40"/>
    </row>
    <row r="1065" spans="1:12" ht="15.75" customHeight="1" x14ac:dyDescent="0.25">
      <c r="A1065" s="40"/>
      <c r="B1065" s="40"/>
      <c r="C1065" s="40"/>
      <c r="D1065" s="40"/>
      <c r="E1065" s="41"/>
      <c r="F1065" s="41"/>
      <c r="G1065" s="40"/>
      <c r="H1065" s="40"/>
      <c r="I1065" s="40"/>
      <c r="J1065" s="40"/>
      <c r="K1065" s="40"/>
      <c r="L1065" s="40"/>
    </row>
    <row r="1066" spans="1:12" ht="15.75" customHeight="1" x14ac:dyDescent="0.25">
      <c r="A1066" s="40"/>
      <c r="B1066" s="40"/>
      <c r="C1066" s="40"/>
      <c r="D1066" s="40"/>
      <c r="E1066" s="41"/>
      <c r="F1066" s="41"/>
      <c r="G1066" s="40"/>
      <c r="H1066" s="40"/>
      <c r="I1066" s="40"/>
      <c r="J1066" s="40"/>
      <c r="K1066" s="40"/>
      <c r="L1066" s="40"/>
    </row>
    <row r="1067" spans="1:12" ht="15.75" customHeight="1" x14ac:dyDescent="0.25">
      <c r="A1067" s="40"/>
      <c r="B1067" s="40"/>
      <c r="C1067" s="40"/>
      <c r="D1067" s="40"/>
      <c r="E1067" s="41"/>
      <c r="F1067" s="41"/>
      <c r="G1067" s="40"/>
      <c r="H1067" s="40"/>
      <c r="I1067" s="40"/>
      <c r="J1067" s="40"/>
      <c r="K1067" s="40"/>
      <c r="L1067" s="40"/>
    </row>
    <row r="1068" spans="1:12" ht="15.75" customHeight="1" x14ac:dyDescent="0.25">
      <c r="A1068" s="40"/>
      <c r="B1068" s="40"/>
      <c r="C1068" s="40"/>
      <c r="D1068" s="40"/>
      <c r="E1068" s="41"/>
      <c r="F1068" s="41"/>
      <c r="G1068" s="40"/>
      <c r="H1068" s="40"/>
      <c r="I1068" s="40"/>
      <c r="J1068" s="40"/>
      <c r="K1068" s="40"/>
      <c r="L1068" s="40"/>
    </row>
    <row r="1069" spans="1:12" ht="15.75" customHeight="1" x14ac:dyDescent="0.25">
      <c r="A1069" s="40"/>
      <c r="B1069" s="40"/>
      <c r="C1069" s="40"/>
      <c r="D1069" s="40"/>
      <c r="E1069" s="41"/>
      <c r="F1069" s="41"/>
      <c r="G1069" s="40"/>
      <c r="H1069" s="40"/>
      <c r="I1069" s="40"/>
      <c r="J1069" s="40"/>
      <c r="K1069" s="40"/>
      <c r="L1069" s="40"/>
    </row>
    <row r="1070" spans="1:12" ht="15.75" customHeight="1" x14ac:dyDescent="0.25">
      <c r="A1070" s="40"/>
      <c r="B1070" s="40"/>
      <c r="C1070" s="40"/>
      <c r="D1070" s="40"/>
      <c r="E1070" s="41"/>
      <c r="F1070" s="41"/>
      <c r="G1070" s="40"/>
      <c r="H1070" s="40"/>
      <c r="I1070" s="40"/>
      <c r="J1070" s="40"/>
      <c r="K1070" s="40"/>
      <c r="L1070" s="40"/>
    </row>
    <row r="1071" spans="1:12" ht="15.75" customHeight="1" x14ac:dyDescent="0.25">
      <c r="A1071" s="40"/>
      <c r="B1071" s="40"/>
      <c r="C1071" s="40"/>
      <c r="D1071" s="40"/>
      <c r="E1071" s="41"/>
      <c r="F1071" s="41"/>
      <c r="G1071" s="40"/>
      <c r="H1071" s="40"/>
      <c r="I1071" s="40"/>
      <c r="J1071" s="40"/>
      <c r="K1071" s="40"/>
      <c r="L1071" s="40"/>
    </row>
    <row r="1072" spans="1:12" ht="15.75" customHeight="1" x14ac:dyDescent="0.25">
      <c r="A1072" s="40"/>
      <c r="B1072" s="40"/>
      <c r="C1072" s="40"/>
      <c r="D1072" s="40"/>
      <c r="E1072" s="41"/>
      <c r="F1072" s="41"/>
      <c r="G1072" s="40"/>
      <c r="H1072" s="40"/>
      <c r="I1072" s="40"/>
      <c r="J1072" s="40"/>
      <c r="K1072" s="40"/>
      <c r="L1072" s="40"/>
    </row>
    <row r="1073" spans="1:12" ht="15.75" customHeight="1" x14ac:dyDescent="0.25">
      <c r="A1073" s="40"/>
      <c r="B1073" s="40"/>
      <c r="C1073" s="40"/>
      <c r="D1073" s="40"/>
      <c r="E1073" s="41"/>
      <c r="F1073" s="41"/>
      <c r="G1073" s="40"/>
      <c r="H1073" s="40"/>
      <c r="I1073" s="40"/>
      <c r="J1073" s="40"/>
      <c r="K1073" s="40"/>
      <c r="L1073" s="40"/>
    </row>
    <row r="1074" spans="1:12" ht="15.75" customHeight="1" x14ac:dyDescent="0.25">
      <c r="A1074" s="40"/>
      <c r="B1074" s="40"/>
      <c r="C1074" s="40"/>
      <c r="D1074" s="40"/>
      <c r="E1074" s="41"/>
      <c r="F1074" s="41"/>
      <c r="G1074" s="40"/>
      <c r="H1074" s="40"/>
      <c r="I1074" s="40"/>
      <c r="J1074" s="40"/>
      <c r="K1074" s="40"/>
      <c r="L1074" s="40"/>
    </row>
    <row r="1075" spans="1:12" ht="15.75" customHeight="1" x14ac:dyDescent="0.25">
      <c r="A1075" s="40"/>
      <c r="B1075" s="40"/>
      <c r="C1075" s="40"/>
      <c r="D1075" s="40"/>
      <c r="E1075" s="41"/>
      <c r="F1075" s="41"/>
      <c r="G1075" s="40"/>
      <c r="H1075" s="40"/>
      <c r="I1075" s="40"/>
      <c r="J1075" s="40"/>
      <c r="K1075" s="40"/>
      <c r="L1075" s="40"/>
    </row>
    <row r="1076" spans="1:12" ht="15.75" customHeight="1" x14ac:dyDescent="0.25">
      <c r="A1076" s="40"/>
      <c r="B1076" s="40"/>
      <c r="C1076" s="40"/>
      <c r="D1076" s="40"/>
      <c r="E1076" s="41"/>
      <c r="F1076" s="41"/>
      <c r="G1076" s="40"/>
      <c r="H1076" s="40"/>
      <c r="I1076" s="40"/>
      <c r="J1076" s="40"/>
      <c r="K1076" s="40"/>
      <c r="L1076" s="40"/>
    </row>
    <row r="1077" spans="1:12" ht="15.75" customHeight="1" x14ac:dyDescent="0.25">
      <c r="A1077" s="40"/>
      <c r="B1077" s="40"/>
      <c r="C1077" s="40"/>
      <c r="D1077" s="40"/>
      <c r="E1077" s="41"/>
      <c r="F1077" s="41"/>
      <c r="G1077" s="40"/>
      <c r="H1077" s="40"/>
      <c r="I1077" s="40"/>
      <c r="J1077" s="40"/>
      <c r="K1077" s="40"/>
      <c r="L1077" s="40"/>
    </row>
    <row r="1078" spans="1:12" ht="15.75" customHeight="1" x14ac:dyDescent="0.25">
      <c r="A1078" s="40"/>
      <c r="B1078" s="40"/>
      <c r="C1078" s="40"/>
      <c r="D1078" s="40"/>
      <c r="E1078" s="41"/>
      <c r="F1078" s="41"/>
      <c r="G1078" s="40"/>
      <c r="H1078" s="40"/>
      <c r="I1078" s="40"/>
      <c r="J1078" s="40"/>
      <c r="K1078" s="40"/>
      <c r="L1078" s="40"/>
    </row>
    <row r="1079" spans="1:12" ht="15.75" customHeight="1" x14ac:dyDescent="0.25">
      <c r="A1079" s="40"/>
      <c r="B1079" s="40"/>
      <c r="C1079" s="40"/>
      <c r="D1079" s="40"/>
      <c r="E1079" s="41"/>
      <c r="F1079" s="41"/>
      <c r="G1079" s="40"/>
      <c r="H1079" s="40"/>
      <c r="I1079" s="40"/>
      <c r="J1079" s="40"/>
      <c r="K1079" s="40"/>
      <c r="L1079" s="40"/>
    </row>
    <row r="1080" spans="1:12" ht="15.75" customHeight="1" x14ac:dyDescent="0.25">
      <c r="A1080" s="40"/>
      <c r="B1080" s="40"/>
      <c r="C1080" s="40"/>
      <c r="D1080" s="40"/>
      <c r="E1080" s="41"/>
      <c r="F1080" s="41"/>
      <c r="G1080" s="40"/>
      <c r="H1080" s="40"/>
      <c r="I1080" s="40"/>
      <c r="J1080" s="40"/>
      <c r="K1080" s="40"/>
      <c r="L1080" s="40"/>
    </row>
    <row r="1081" spans="1:12" ht="15.75" customHeight="1" x14ac:dyDescent="0.25">
      <c r="A1081" s="40"/>
      <c r="B1081" s="40"/>
      <c r="C1081" s="40"/>
      <c r="D1081" s="40"/>
      <c r="E1081" s="41"/>
      <c r="F1081" s="41"/>
      <c r="G1081" s="40"/>
      <c r="H1081" s="40"/>
      <c r="I1081" s="40"/>
      <c r="J1081" s="40"/>
      <c r="K1081" s="40"/>
      <c r="L1081" s="40"/>
    </row>
    <row r="1082" spans="1:12" ht="15.75" customHeight="1" x14ac:dyDescent="0.25">
      <c r="A1082" s="40"/>
      <c r="B1082" s="40"/>
      <c r="C1082" s="40"/>
      <c r="D1082" s="40"/>
      <c r="E1082" s="41"/>
      <c r="F1082" s="41"/>
      <c r="G1082" s="40"/>
      <c r="H1082" s="40"/>
      <c r="I1082" s="40"/>
      <c r="J1082" s="40"/>
      <c r="K1082" s="40"/>
      <c r="L1082" s="40"/>
    </row>
    <row r="1083" spans="1:12" ht="15.75" customHeight="1" x14ac:dyDescent="0.25">
      <c r="A1083" s="40"/>
      <c r="B1083" s="40"/>
      <c r="C1083" s="40"/>
      <c r="D1083" s="40"/>
      <c r="E1083" s="41"/>
      <c r="F1083" s="41"/>
      <c r="G1083" s="40"/>
      <c r="H1083" s="40"/>
      <c r="I1083" s="40"/>
      <c r="J1083" s="40"/>
      <c r="K1083" s="40"/>
      <c r="L1083" s="40"/>
    </row>
  </sheetData>
  <autoFilter ref="A14:I173" xr:uid="{00000000-0009-0000-0000-000004000000}"/>
  <mergeCells count="56">
    <mergeCell ref="B165:B166"/>
    <mergeCell ref="A167:A173"/>
    <mergeCell ref="B167:B171"/>
    <mergeCell ref="B172:B173"/>
    <mergeCell ref="A129:A142"/>
    <mergeCell ref="B129:B142"/>
    <mergeCell ref="A143:A166"/>
    <mergeCell ref="B143:B144"/>
    <mergeCell ref="B145:B147"/>
    <mergeCell ref="B148:B150"/>
    <mergeCell ref="B151:B152"/>
    <mergeCell ref="B153:B155"/>
    <mergeCell ref="B156:B161"/>
    <mergeCell ref="B162:B164"/>
    <mergeCell ref="A103:A128"/>
    <mergeCell ref="B103:B108"/>
    <mergeCell ref="B109:B115"/>
    <mergeCell ref="B116:B117"/>
    <mergeCell ref="B118:B119"/>
    <mergeCell ref="B120:B122"/>
    <mergeCell ref="B123:B125"/>
    <mergeCell ref="B126:B128"/>
    <mergeCell ref="A81:A102"/>
    <mergeCell ref="B81:B85"/>
    <mergeCell ref="B86:B90"/>
    <mergeCell ref="B91:B92"/>
    <mergeCell ref="B93:B94"/>
    <mergeCell ref="B95:B96"/>
    <mergeCell ref="B97:B102"/>
    <mergeCell ref="B45:B48"/>
    <mergeCell ref="B49:B53"/>
    <mergeCell ref="B54:B55"/>
    <mergeCell ref="B56:B63"/>
    <mergeCell ref="A64:A80"/>
    <mergeCell ref="B64:B69"/>
    <mergeCell ref="B70:B73"/>
    <mergeCell ref="B74:B75"/>
    <mergeCell ref="B76:B77"/>
    <mergeCell ref="B78:B80"/>
    <mergeCell ref="A27:A63"/>
    <mergeCell ref="B27:B32"/>
    <mergeCell ref="B33:B35"/>
    <mergeCell ref="B36:B41"/>
    <mergeCell ref="B42:B44"/>
    <mergeCell ref="A15:A26"/>
    <mergeCell ref="B15:B19"/>
    <mergeCell ref="B20:B21"/>
    <mergeCell ref="B22:B23"/>
    <mergeCell ref="B24:B26"/>
    <mergeCell ref="D2:D7"/>
    <mergeCell ref="A3:A4"/>
    <mergeCell ref="E3:F3"/>
    <mergeCell ref="E4:F4"/>
    <mergeCell ref="A5:A6"/>
    <mergeCell ref="E5:F5"/>
    <mergeCell ref="E6:F6"/>
  </mergeCells>
  <dataValidations count="5">
    <dataValidation type="list" allowBlank="1" showInputMessage="1" showErrorMessage="1" sqref="G176" xr:uid="{10580D34-7763-4205-A687-48573AA7E30A}">
      <formula1>$G$15:$G$173</formula1>
    </dataValidation>
    <dataValidation type="list" allowBlank="1" showInputMessage="1" showErrorMessage="1" sqref="D176" xr:uid="{44098CE5-5EB6-49A5-BDE4-6B8FE1846955}">
      <formula1>$D$15:$D$173</formula1>
    </dataValidation>
    <dataValidation type="list" allowBlank="1" showInputMessage="1" showErrorMessage="1" sqref="C176" xr:uid="{F8DFD09F-CD75-4C7A-876F-0AB200D219AE}">
      <formula1>$C$2:$C$12</formula1>
    </dataValidation>
    <dataValidation type="list" allowBlank="1" showInputMessage="1" showErrorMessage="1" sqref="B176" xr:uid="{3C300C9F-D2C2-4022-8342-FF493F42B1C5}">
      <formula1>$X$1:$X$29</formula1>
    </dataValidation>
    <dataValidation type="list" allowBlank="1" showInputMessage="1" showErrorMessage="1" sqref="A176" xr:uid="{A92D233E-703E-49AC-AF5E-20615FF61EFA}">
      <formula1>$W$1:$W$9</formula1>
    </dataValidation>
  </dataValidations>
  <pageMargins left="0.7" right="0.7" top="0.75" bottom="0.75" header="0" footer="0"/>
  <pageSetup paperSize="9" scale="47" fitToHeight="0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BF45A-D41B-4662-AAF4-CB58423CCF86}">
  <sheetPr codeName="Лист9">
    <tabColor rgb="FFC5E0B3"/>
  </sheetPr>
  <dimension ref="A1:Y604"/>
  <sheetViews>
    <sheetView topLeftCell="A6" zoomScale="85" zoomScaleNormal="85" workbookViewId="0">
      <selection activeCell="E546" sqref="E546"/>
    </sheetView>
  </sheetViews>
  <sheetFormatPr defaultColWidth="14.42578125" defaultRowHeight="15" customHeight="1" x14ac:dyDescent="0.2"/>
  <cols>
    <col min="1" max="1" width="25.28515625" style="264" customWidth="1"/>
    <col min="2" max="2" width="12.85546875" style="264" customWidth="1"/>
    <col min="3" max="3" width="19.5703125" style="264" customWidth="1"/>
    <col min="4" max="4" width="19.7109375" style="264" bestFit="1" customWidth="1"/>
    <col min="5" max="5" width="62.42578125" style="264" customWidth="1"/>
    <col min="6" max="7" width="9.28515625" style="264" bestFit="1" customWidth="1"/>
    <col min="8" max="8" width="10" style="264" bestFit="1" customWidth="1"/>
    <col min="9" max="9" width="21.42578125" style="264" customWidth="1"/>
    <col min="10" max="10" width="36.140625" style="264" customWidth="1"/>
    <col min="11" max="11" width="9.140625" style="264" bestFit="1" customWidth="1"/>
    <col min="12" max="12" width="8.5703125" style="264" customWidth="1"/>
    <col min="13" max="13" width="8.7109375" style="264" bestFit="1" customWidth="1"/>
    <col min="14" max="14" width="15.28515625" style="264" bestFit="1" customWidth="1"/>
    <col min="15" max="15" width="8.7109375" style="264" bestFit="1" customWidth="1"/>
    <col min="16" max="16" width="10.28515625" style="264" bestFit="1" customWidth="1"/>
    <col min="17" max="22" width="8.7109375" style="264" bestFit="1" customWidth="1"/>
    <col min="23" max="23" width="48.28515625" style="264" customWidth="1"/>
    <col min="24" max="24" width="59.5703125" style="264" customWidth="1"/>
    <col min="25" max="16384" width="14.42578125" style="264"/>
  </cols>
  <sheetData>
    <row r="1" spans="1:24" ht="15" customHeight="1" x14ac:dyDescent="0.25">
      <c r="B1" s="40"/>
      <c r="C1" s="40"/>
      <c r="D1" s="40"/>
      <c r="E1" s="40"/>
      <c r="F1" s="41"/>
      <c r="G1" s="41"/>
      <c r="H1" s="40"/>
      <c r="I1" s="265" t="s">
        <v>205</v>
      </c>
      <c r="J1" s="40">
        <f>SUM(G69,G127,G211,G259,G262,G263,G267,G270,G271,G273,G274,G275,G325,G407,G408,G412,G439,G413,G440,G444,G445,G526,G549,G558,G560,G562,G563,G566,G567,G568,G570,G572,G594)</f>
        <v>0</v>
      </c>
      <c r="K1" s="40"/>
      <c r="Q1" s="42" t="s">
        <v>206</v>
      </c>
      <c r="W1" s="451" t="s">
        <v>232</v>
      </c>
      <c r="X1" s="447" t="s">
        <v>274</v>
      </c>
    </row>
    <row r="2" spans="1:24" ht="15.75" thickBot="1" x14ac:dyDescent="0.3">
      <c r="B2" s="40"/>
      <c r="C2" s="40"/>
      <c r="D2" s="265" t="s">
        <v>205</v>
      </c>
      <c r="E2" s="40"/>
      <c r="F2" s="41"/>
      <c r="G2" s="41"/>
      <c r="H2" s="40"/>
      <c r="I2" s="266" t="s">
        <v>207</v>
      </c>
      <c r="J2" s="40" t="e">
        <f>SUM(G62,G63,G71,G157,G160,G161,G162,G163,G164,G169,G176,G194,G198,G200,G201,#REF!,G203,G203,G204,G205,G209,#REF!,G214,G215,G216,G217,G227,G229,G231,G232,G238,G240,G242,G249,G251,G254,G256,G257,G283,G291,G300,G302,G313,G323,G315,G340,#REF!,G341,G347,G351,G354,G361,G362,G376,G379,G382,G401,G403,G405,#REF!,G417,G419,G423,G424,#REF!,G449,G451,G453,G454,#REF!,G467,G471,G473,G487,G489,G491,G506,G507,G522,G524,G541,G542,#REF!,G546,G547,G548,G555,#REF!,G573,G574,G578,G579,G580,G581,G582,G587,G590,G592,#REF!,G61)</f>
        <v>#REF!</v>
      </c>
      <c r="K2" s="40"/>
      <c r="W2" s="451"/>
      <c r="X2" s="447"/>
    </row>
    <row r="3" spans="1:24" ht="15.75" customHeight="1" x14ac:dyDescent="0.25">
      <c r="A3" s="577" t="s">
        <v>208</v>
      </c>
      <c r="B3" s="578"/>
      <c r="C3" s="40"/>
      <c r="D3" s="43" t="s">
        <v>207</v>
      </c>
      <c r="E3" s="506" t="s">
        <v>209</v>
      </c>
      <c r="F3" s="41"/>
      <c r="G3" s="41"/>
      <c r="H3" s="44" t="s">
        <v>210</v>
      </c>
      <c r="I3" s="267" t="s">
        <v>211</v>
      </c>
      <c r="J3" s="40" t="e">
        <f>SUM(G74,G154,G156,#REF!,G553,G554)</f>
        <v>#REF!</v>
      </c>
      <c r="K3" s="40"/>
      <c r="W3" s="451" t="s">
        <v>273</v>
      </c>
      <c r="X3" s="447" t="s">
        <v>299</v>
      </c>
    </row>
    <row r="4" spans="1:24" ht="15" customHeight="1" x14ac:dyDescent="0.25">
      <c r="A4" s="579"/>
      <c r="B4" s="580"/>
      <c r="C4" s="40"/>
      <c r="D4" s="46" t="s">
        <v>211</v>
      </c>
      <c r="E4" s="507"/>
      <c r="F4" s="41"/>
      <c r="G4" s="41"/>
      <c r="H4" s="47" t="s">
        <v>212</v>
      </c>
      <c r="I4" s="268" t="s">
        <v>213</v>
      </c>
      <c r="J4" s="40" t="e">
        <f>SUM(G65,#REF!,#REF!,G170,G173,G175,G178,G179,G189,G192,G223,#REF!,G266,G277,G279,G307,G324,#REF!,G384,G386,G390,G425,G455,G456,G458,G475,G476,G478,G497,G499,G500,G518,G520,G538,G565,G585,G586)</f>
        <v>#REF!</v>
      </c>
      <c r="K4" s="40"/>
      <c r="W4" s="452" t="s">
        <v>1160</v>
      </c>
      <c r="X4" s="447" t="s">
        <v>309</v>
      </c>
    </row>
    <row r="5" spans="1:24" ht="25.5" customHeight="1" thickBot="1" x14ac:dyDescent="0.3">
      <c r="A5" s="591" t="str">
        <f>'[1]Материалы для заказа'!C3</f>
        <v>№275-24СВ Мороз АВ</v>
      </c>
      <c r="B5" s="592"/>
      <c r="C5" s="40"/>
      <c r="D5" s="48" t="s">
        <v>213</v>
      </c>
      <c r="E5" s="508"/>
      <c r="F5" s="41"/>
      <c r="G5" s="41"/>
      <c r="H5" s="49" t="s">
        <v>214</v>
      </c>
      <c r="I5" s="269" t="s">
        <v>215</v>
      </c>
      <c r="J5" s="40" t="e">
        <f>SUM(G67,G70,G75,G76,G77,G81,G86,G88,G90,G92,G93,G95,#REF!,G99,G100,#REF!,G128,G129,G130,#REF!,#REF!,#REF!,#REF!,#REF!,#REF!,#REF!,#REF!,G137,#REF!,#REF!,G141,G142,#REF!,G143,#REF!,G149,G151,G159,G166,G171,G174,G177,G180,G190,G195,G199,G202,G207,G210,G213,G220,G222,G224,G225,G236,G237,G239,G241,G247,G243,G253,G255,#REF!,G258,G261,G264,G268,G272,G276,G278,#REF!,G306,G308,G314,G327,G328,G343,G349,G353,G355,G369,G370,G371,G372,G373,#REF!,G381,G383,G385,G387,G402,G404,G406,G410,G415,#REF!,G418,G420,G426,G442,#REF!,G447,G450,G452,G457,#REF!,G468,G474,G472,G477,G488,G490,G492,G493,G498,G501,G509,G510,G519,G523,G525,G527,G529,G533,G534,G535,G536,#REF!,G537,#REF!,#REF!,G552,#REF!,G556,G557,G559,G561,G564,G571,G575,G583,G584,G588,G591,G593,G595,G316)</f>
        <v>#REF!</v>
      </c>
      <c r="K5" s="40"/>
      <c r="W5" s="453" t="s">
        <v>346</v>
      </c>
      <c r="X5" s="447" t="s">
        <v>331</v>
      </c>
    </row>
    <row r="6" spans="1:24" ht="15.75" customHeight="1" thickBot="1" x14ac:dyDescent="0.3">
      <c r="A6" s="557"/>
      <c r="B6" s="593"/>
      <c r="C6" s="40"/>
      <c r="D6" s="269" t="s">
        <v>215</v>
      </c>
      <c r="E6" s="40"/>
      <c r="F6" s="41"/>
      <c r="G6" s="41"/>
      <c r="H6" s="50" t="s">
        <v>216</v>
      </c>
      <c r="I6" s="334" t="s">
        <v>217</v>
      </c>
      <c r="J6" s="40" t="e">
        <f>SUM(G136,#REF!,#REF!,#REF!,#REF!,G221,G551)</f>
        <v>#REF!</v>
      </c>
      <c r="K6" s="40"/>
      <c r="W6" s="452" t="s">
        <v>537</v>
      </c>
      <c r="X6" s="454" t="s">
        <v>347</v>
      </c>
    </row>
    <row r="7" spans="1:24" ht="24" thickBot="1" x14ac:dyDescent="0.4">
      <c r="B7" s="40"/>
      <c r="C7" s="40"/>
      <c r="D7" s="51" t="s">
        <v>217</v>
      </c>
      <c r="E7" s="52" t="s">
        <v>219</v>
      </c>
      <c r="F7" s="41"/>
      <c r="G7" s="41"/>
      <c r="H7" s="40">
        <f>SUM(G62:G597)</f>
        <v>1</v>
      </c>
      <c r="I7" s="270" t="s">
        <v>220</v>
      </c>
      <c r="J7" s="40" t="e">
        <f>SUM(G181,G182,G183,G184,G185,G186,G191,G265,G269,G279,G326,G388,G389,G397,G398,G399,G400,#REF!,#REF!,G409,G414,G432,G434,G433,G435,G436,G437,G438,#REF!,#REF!,G441,G446,G459,G460,G461,G462,G463,G464,G479,G480,G481,G482,G483,G484,G503,G502,G504,G505,#REF!,#REF!,G511,G512,G513,G514,G515,G516,G517,G550,G260)</f>
        <v>#REF!</v>
      </c>
      <c r="K7" s="40"/>
      <c r="W7" s="452" t="s">
        <v>670</v>
      </c>
      <c r="X7" s="447" t="s">
        <v>349</v>
      </c>
    </row>
    <row r="8" spans="1:24" ht="24" thickBot="1" x14ac:dyDescent="0.4">
      <c r="B8" s="40"/>
      <c r="C8" s="40"/>
      <c r="D8" s="53" t="s">
        <v>220</v>
      </c>
      <c r="E8" s="54" t="s">
        <v>222</v>
      </c>
      <c r="F8" s="41"/>
      <c r="G8" s="41"/>
      <c r="H8" s="40" t="e">
        <f>SUM(J1:J10)</f>
        <v>#REF!</v>
      </c>
      <c r="I8" s="271" t="s">
        <v>218</v>
      </c>
      <c r="J8" s="40">
        <f>SUM(G280,G309,G311,G333,G335,G539,G589,G596)</f>
        <v>0</v>
      </c>
      <c r="K8" s="40"/>
      <c r="W8" s="453" t="s">
        <v>701</v>
      </c>
      <c r="X8" s="455" t="s">
        <v>396</v>
      </c>
    </row>
    <row r="9" spans="1:24" x14ac:dyDescent="0.25">
      <c r="B9" s="40"/>
      <c r="C9" s="40"/>
      <c r="D9" s="271" t="s">
        <v>218</v>
      </c>
      <c r="E9" s="40"/>
      <c r="F9" s="41"/>
      <c r="G9" s="41"/>
      <c r="H9" s="40"/>
      <c r="I9" s="273" t="s">
        <v>221</v>
      </c>
      <c r="J9" s="40">
        <f>SUM(G281,G310,G334,G543,G544,G545,G597,G392,G282)</f>
        <v>0</v>
      </c>
      <c r="K9" s="40"/>
      <c r="W9" s="453" t="s">
        <v>705</v>
      </c>
      <c r="X9" s="447" t="s">
        <v>411</v>
      </c>
    </row>
    <row r="10" spans="1:24" x14ac:dyDescent="0.25">
      <c r="B10" s="40"/>
      <c r="C10" s="40"/>
      <c r="D10" s="273" t="s">
        <v>221</v>
      </c>
      <c r="E10" s="40"/>
      <c r="F10" s="41"/>
      <c r="G10" s="41"/>
      <c r="H10" s="40"/>
      <c r="I10" s="274" t="s">
        <v>223</v>
      </c>
      <c r="J10" s="40">
        <f>SUM(G363,G364,G365,G366,G375,G377,G378)</f>
        <v>0</v>
      </c>
      <c r="K10" s="40"/>
      <c r="W10" s="453" t="s">
        <v>707</v>
      </c>
      <c r="X10" s="447" t="s">
        <v>419</v>
      </c>
    </row>
    <row r="11" spans="1:24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W11" s="452" t="s">
        <v>760</v>
      </c>
      <c r="X11" s="454" t="s">
        <v>434</v>
      </c>
    </row>
    <row r="12" spans="1:24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W12" s="453" t="s">
        <v>783</v>
      </c>
      <c r="X12" s="454" t="s">
        <v>445</v>
      </c>
    </row>
    <row r="13" spans="1:24" ht="15.75" thickBot="1" x14ac:dyDescent="0.3">
      <c r="B13" s="40" t="s">
        <v>224</v>
      </c>
      <c r="C13" s="40" t="s">
        <v>225</v>
      </c>
      <c r="D13" s="40" t="s">
        <v>226</v>
      </c>
      <c r="E13" s="40" t="s">
        <v>227</v>
      </c>
      <c r="F13" s="41" t="s">
        <v>228</v>
      </c>
      <c r="G13" s="41"/>
      <c r="H13" s="40" t="s">
        <v>229</v>
      </c>
      <c r="I13" s="40" t="s">
        <v>230</v>
      </c>
      <c r="J13" s="40" t="s">
        <v>231</v>
      </c>
      <c r="K13" s="40"/>
      <c r="W13" s="452" t="s">
        <v>839</v>
      </c>
      <c r="X13" s="454" t="s">
        <v>457</v>
      </c>
    </row>
    <row r="14" spans="1:24" ht="15" customHeight="1" x14ac:dyDescent="0.25">
      <c r="A14" s="594" t="s">
        <v>232</v>
      </c>
      <c r="B14" s="595"/>
      <c r="C14" s="260"/>
      <c r="D14" s="40"/>
      <c r="E14" s="335" t="s">
        <v>233</v>
      </c>
      <c r="F14" s="336">
        <v>1</v>
      </c>
      <c r="G14" s="55">
        <v>0</v>
      </c>
      <c r="H14" s="56"/>
      <c r="I14" s="56"/>
      <c r="J14" s="57"/>
      <c r="K14" s="40"/>
      <c r="W14" s="453" t="s">
        <v>1183</v>
      </c>
      <c r="X14" s="454" t="s">
        <v>463</v>
      </c>
    </row>
    <row r="15" spans="1:24" ht="15" customHeight="1" x14ac:dyDescent="0.25">
      <c r="A15" s="596"/>
      <c r="B15" s="595"/>
      <c r="C15" s="40"/>
      <c r="D15" s="40"/>
      <c r="E15" s="337" t="s">
        <v>234</v>
      </c>
      <c r="F15" s="338" t="s">
        <v>235</v>
      </c>
      <c r="G15" s="58">
        <v>0</v>
      </c>
      <c r="H15" s="289"/>
      <c r="I15" s="289"/>
      <c r="J15" s="290"/>
      <c r="K15" s="40"/>
      <c r="W15" s="452" t="s">
        <v>1185</v>
      </c>
      <c r="X15" s="454" t="s">
        <v>470</v>
      </c>
    </row>
    <row r="16" spans="1:24" ht="15" customHeight="1" x14ac:dyDescent="0.25">
      <c r="A16" s="596"/>
      <c r="B16" s="595"/>
      <c r="C16" s="40"/>
      <c r="D16" s="40"/>
      <c r="E16" s="337" t="s">
        <v>236</v>
      </c>
      <c r="F16" s="338">
        <v>6</v>
      </c>
      <c r="G16" s="58">
        <v>1</v>
      </c>
      <c r="H16" s="289" t="s">
        <v>237</v>
      </c>
      <c r="I16" s="289"/>
      <c r="J16" s="29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53" t="s">
        <v>892</v>
      </c>
      <c r="X16" s="454" t="s">
        <v>475</v>
      </c>
    </row>
    <row r="17" spans="1:24" ht="15" customHeight="1" x14ac:dyDescent="0.25">
      <c r="A17" s="596"/>
      <c r="B17" s="595"/>
      <c r="C17" s="40"/>
      <c r="D17" s="40"/>
      <c r="E17" s="337" t="s">
        <v>238</v>
      </c>
      <c r="F17" s="338">
        <v>2</v>
      </c>
      <c r="G17" s="58">
        <v>1</v>
      </c>
      <c r="H17" s="289" t="s">
        <v>239</v>
      </c>
      <c r="I17" s="289"/>
      <c r="J17" s="29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52" t="s">
        <v>908</v>
      </c>
      <c r="X17" s="447" t="s">
        <v>483</v>
      </c>
    </row>
    <row r="18" spans="1:24" ht="15" customHeight="1" x14ac:dyDescent="0.25">
      <c r="A18" s="596"/>
      <c r="B18" s="595"/>
      <c r="C18" s="40"/>
      <c r="D18" s="40"/>
      <c r="E18" s="337" t="s">
        <v>240</v>
      </c>
      <c r="F18" s="338"/>
      <c r="G18" s="58">
        <v>0</v>
      </c>
      <c r="H18" s="289"/>
      <c r="I18" s="289"/>
      <c r="J18" s="290"/>
      <c r="K18" s="40"/>
      <c r="W18" s="453" t="s">
        <v>677</v>
      </c>
      <c r="X18" s="447" t="s">
        <v>489</v>
      </c>
    </row>
    <row r="19" spans="1:24" ht="15" customHeight="1" x14ac:dyDescent="0.25">
      <c r="A19" s="596"/>
      <c r="B19" s="595"/>
      <c r="C19" s="40"/>
      <c r="D19" s="40"/>
      <c r="E19" s="337" t="s">
        <v>241</v>
      </c>
      <c r="F19" s="338"/>
      <c r="G19" s="58">
        <v>0</v>
      </c>
      <c r="H19" s="289"/>
      <c r="I19" s="289"/>
      <c r="J19" s="290"/>
      <c r="K19" s="40"/>
      <c r="W19" s="452" t="s">
        <v>971</v>
      </c>
      <c r="X19" s="447" t="s">
        <v>501</v>
      </c>
    </row>
    <row r="20" spans="1:24" ht="15" customHeight="1" x14ac:dyDescent="0.25">
      <c r="A20" s="596"/>
      <c r="B20" s="595"/>
      <c r="C20" s="40"/>
      <c r="D20" s="40"/>
      <c r="E20" s="337" t="s">
        <v>104</v>
      </c>
      <c r="F20" s="338"/>
      <c r="G20" s="58">
        <v>0</v>
      </c>
      <c r="H20" s="289"/>
      <c r="I20" s="289"/>
      <c r="J20" s="290"/>
      <c r="K20" s="40"/>
      <c r="W20" s="453"/>
      <c r="X20" s="447" t="s">
        <v>508</v>
      </c>
    </row>
    <row r="21" spans="1:24" ht="15" customHeight="1" x14ac:dyDescent="0.25">
      <c r="A21" s="596"/>
      <c r="B21" s="595"/>
      <c r="C21" s="40"/>
      <c r="D21" s="40"/>
      <c r="E21" s="337" t="s">
        <v>242</v>
      </c>
      <c r="F21" s="338"/>
      <c r="G21" s="58">
        <v>0</v>
      </c>
      <c r="H21" s="289"/>
      <c r="I21" s="289"/>
      <c r="J21" s="290"/>
      <c r="K21" s="40"/>
      <c r="W21" s="452"/>
      <c r="X21" s="447" t="s">
        <v>513</v>
      </c>
    </row>
    <row r="22" spans="1:24" ht="15" customHeight="1" x14ac:dyDescent="0.25">
      <c r="A22" s="596"/>
      <c r="B22" s="595"/>
      <c r="C22" s="40"/>
      <c r="D22" s="40"/>
      <c r="E22" s="59" t="s">
        <v>243</v>
      </c>
      <c r="F22" s="61">
        <v>3</v>
      </c>
      <c r="G22" s="58">
        <v>0</v>
      </c>
      <c r="H22" s="289"/>
      <c r="I22" s="289"/>
      <c r="J22" s="290"/>
      <c r="K22" s="40"/>
      <c r="W22"/>
      <c r="X22" s="447" t="s">
        <v>523</v>
      </c>
    </row>
    <row r="23" spans="1:24" ht="15" customHeight="1" x14ac:dyDescent="0.25">
      <c r="A23" s="596"/>
      <c r="B23" s="595"/>
      <c r="C23" s="40"/>
      <c r="D23" s="40"/>
      <c r="E23" s="59" t="s">
        <v>244</v>
      </c>
      <c r="F23" s="61">
        <v>2</v>
      </c>
      <c r="G23" s="58">
        <v>0</v>
      </c>
      <c r="H23" s="289"/>
      <c r="I23" s="289"/>
      <c r="J23" s="290"/>
      <c r="K23" s="40"/>
      <c r="W23"/>
      <c r="X23" s="451" t="s">
        <v>532</v>
      </c>
    </row>
    <row r="24" spans="1:24" ht="15" customHeight="1" x14ac:dyDescent="0.25">
      <c r="A24" s="596"/>
      <c r="B24" s="595"/>
      <c r="C24" s="40"/>
      <c r="D24" s="40"/>
      <c r="E24" s="59" t="s">
        <v>245</v>
      </c>
      <c r="F24" s="61">
        <v>3</v>
      </c>
      <c r="G24" s="58">
        <v>0</v>
      </c>
      <c r="H24" s="289"/>
      <c r="I24" s="289"/>
      <c r="J24" s="290"/>
      <c r="K24" s="40"/>
      <c r="W24"/>
      <c r="X24" s="447" t="s">
        <v>538</v>
      </c>
    </row>
    <row r="25" spans="1:24" ht="15.75" customHeight="1" thickBot="1" x14ac:dyDescent="0.3">
      <c r="A25" s="596"/>
      <c r="B25" s="595"/>
      <c r="C25" s="62"/>
      <c r="D25" s="62"/>
      <c r="E25" s="339" t="s">
        <v>246</v>
      </c>
      <c r="F25" s="340"/>
      <c r="G25" s="58">
        <v>0</v>
      </c>
      <c r="H25" s="289"/>
      <c r="I25" s="289"/>
      <c r="J25" s="290"/>
      <c r="K25" s="40"/>
      <c r="W25"/>
      <c r="X25" s="447" t="s">
        <v>548</v>
      </c>
    </row>
    <row r="26" spans="1:24" ht="15.75" customHeight="1" thickBot="1" x14ac:dyDescent="0.3">
      <c r="A26" s="596"/>
      <c r="B26" s="595"/>
      <c r="C26" s="63" t="s">
        <v>247</v>
      </c>
      <c r="D26" s="64"/>
      <c r="E26" s="65" t="s">
        <v>248</v>
      </c>
      <c r="F26" s="66"/>
      <c r="G26" s="341">
        <v>0</v>
      </c>
      <c r="H26" s="289"/>
      <c r="I26" s="289"/>
      <c r="J26" s="290"/>
      <c r="K26" s="40"/>
      <c r="W26"/>
      <c r="X26" s="447" t="s">
        <v>554</v>
      </c>
    </row>
    <row r="27" spans="1:24" ht="15" customHeight="1" x14ac:dyDescent="0.25">
      <c r="A27" s="596"/>
      <c r="B27" s="595"/>
      <c r="C27" s="597"/>
      <c r="D27" s="522"/>
      <c r="E27" s="67" t="s">
        <v>249</v>
      </c>
      <c r="F27" s="68">
        <v>1</v>
      </c>
      <c r="G27" s="341">
        <v>0</v>
      </c>
      <c r="H27" s="289"/>
      <c r="I27" s="289"/>
      <c r="J27" s="290"/>
      <c r="K27" s="40"/>
      <c r="W27"/>
      <c r="X27" s="447" t="s">
        <v>569</v>
      </c>
    </row>
    <row r="28" spans="1:24" ht="15" customHeight="1" x14ac:dyDescent="0.25">
      <c r="A28" s="596"/>
      <c r="B28" s="595"/>
      <c r="C28" s="598"/>
      <c r="D28" s="522"/>
      <c r="E28" s="67" t="s">
        <v>250</v>
      </c>
      <c r="F28" s="68">
        <v>1</v>
      </c>
      <c r="G28" s="341">
        <v>0</v>
      </c>
      <c r="H28" s="289"/>
      <c r="I28" s="289"/>
      <c r="J28" s="290"/>
      <c r="K28" s="40"/>
      <c r="W28"/>
      <c r="X28" s="447" t="s">
        <v>598</v>
      </c>
    </row>
    <row r="29" spans="1:24" ht="15" customHeight="1" x14ac:dyDescent="0.25">
      <c r="A29" s="596"/>
      <c r="B29" s="595"/>
      <c r="C29" s="598"/>
      <c r="D29" s="522"/>
      <c r="E29" s="67" t="s">
        <v>251</v>
      </c>
      <c r="F29" s="68"/>
      <c r="G29" s="341">
        <v>0</v>
      </c>
      <c r="H29" s="289"/>
      <c r="I29" s="289"/>
      <c r="J29" s="290"/>
      <c r="K29" s="40"/>
      <c r="L29" s="40"/>
      <c r="W29"/>
      <c r="X29" s="447" t="s">
        <v>613</v>
      </c>
    </row>
    <row r="30" spans="1:24" ht="15" customHeight="1" x14ac:dyDescent="0.25">
      <c r="A30" s="596"/>
      <c r="B30" s="595"/>
      <c r="C30" s="260"/>
      <c r="D30" s="69"/>
      <c r="E30" s="67" t="s">
        <v>252</v>
      </c>
      <c r="F30" s="68"/>
      <c r="G30" s="341">
        <v>0</v>
      </c>
      <c r="H30" s="289"/>
      <c r="I30" s="289"/>
      <c r="J30" s="29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/>
      <c r="X30" s="447" t="s">
        <v>622</v>
      </c>
    </row>
    <row r="31" spans="1:24" ht="15" customHeight="1" x14ac:dyDescent="0.25">
      <c r="A31" s="596"/>
      <c r="B31" s="595"/>
      <c r="C31" s="260"/>
      <c r="D31" s="69"/>
      <c r="E31" s="67" t="s">
        <v>253</v>
      </c>
      <c r="F31" s="68">
        <v>1</v>
      </c>
      <c r="G31" s="341">
        <v>0</v>
      </c>
      <c r="H31" s="289"/>
      <c r="I31" s="289"/>
      <c r="J31" s="29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/>
      <c r="X31" s="447" t="s">
        <v>1171</v>
      </c>
    </row>
    <row r="32" spans="1:24" ht="15" customHeight="1" x14ac:dyDescent="0.25">
      <c r="A32" s="596"/>
      <c r="B32" s="595"/>
      <c r="C32" s="260"/>
      <c r="D32" s="69"/>
      <c r="E32" s="67" t="s">
        <v>254</v>
      </c>
      <c r="F32" s="68"/>
      <c r="G32" s="341">
        <v>0</v>
      </c>
      <c r="H32" s="289"/>
      <c r="I32" s="289"/>
      <c r="J32" s="29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/>
      <c r="X32" s="447" t="s">
        <v>633</v>
      </c>
    </row>
    <row r="33" spans="1:24" ht="15" customHeight="1" x14ac:dyDescent="0.25">
      <c r="A33" s="596"/>
      <c r="B33" s="595"/>
      <c r="C33" s="598"/>
      <c r="D33" s="522"/>
      <c r="E33" s="67" t="s">
        <v>255</v>
      </c>
      <c r="F33" s="68"/>
      <c r="G33" s="341">
        <v>0</v>
      </c>
      <c r="H33" s="289"/>
      <c r="I33" s="289"/>
      <c r="J33" s="290"/>
      <c r="K33" s="40"/>
      <c r="W33"/>
      <c r="X33" s="447" t="s">
        <v>639</v>
      </c>
    </row>
    <row r="34" spans="1:24" ht="15" customHeight="1" x14ac:dyDescent="0.25">
      <c r="A34" s="596"/>
      <c r="B34" s="595"/>
      <c r="C34" s="260" t="s">
        <v>256</v>
      </c>
      <c r="D34" s="69"/>
      <c r="E34" s="67" t="s">
        <v>257</v>
      </c>
      <c r="F34" s="68">
        <v>1</v>
      </c>
      <c r="G34" s="341">
        <v>0</v>
      </c>
      <c r="H34" s="289"/>
      <c r="I34" s="289"/>
      <c r="J34" s="290"/>
      <c r="K34" s="40"/>
      <c r="W34"/>
      <c r="X34" s="447" t="s">
        <v>644</v>
      </c>
    </row>
    <row r="35" spans="1:24" ht="15" customHeight="1" x14ac:dyDescent="0.25">
      <c r="A35" s="596"/>
      <c r="B35" s="595"/>
      <c r="C35" s="260"/>
      <c r="D35" s="69"/>
      <c r="E35" s="67" t="s">
        <v>258</v>
      </c>
      <c r="F35" s="68"/>
      <c r="G35" s="341">
        <v>0</v>
      </c>
      <c r="H35" s="289"/>
      <c r="I35" s="289"/>
      <c r="J35" s="290"/>
      <c r="K35" s="40"/>
      <c r="W35"/>
      <c r="X35" s="447" t="s">
        <v>650</v>
      </c>
    </row>
    <row r="36" spans="1:24" ht="15" customHeight="1" x14ac:dyDescent="0.25">
      <c r="A36" s="596"/>
      <c r="B36" s="595"/>
      <c r="C36" s="260"/>
      <c r="D36" s="69"/>
      <c r="E36" s="67" t="s">
        <v>259</v>
      </c>
      <c r="F36" s="68">
        <v>1</v>
      </c>
      <c r="G36" s="341">
        <v>0</v>
      </c>
      <c r="H36" s="289"/>
      <c r="I36" s="289"/>
      <c r="J36" s="290"/>
      <c r="K36" s="40"/>
      <c r="W36"/>
      <c r="X36" s="447" t="s">
        <v>655</v>
      </c>
    </row>
    <row r="37" spans="1:24" ht="15" customHeight="1" x14ac:dyDescent="0.25">
      <c r="A37" s="596"/>
      <c r="B37" s="595"/>
      <c r="C37" s="598"/>
      <c r="D37" s="522"/>
      <c r="E37" s="67" t="s">
        <v>260</v>
      </c>
      <c r="F37" s="68"/>
      <c r="G37" s="341">
        <v>0</v>
      </c>
      <c r="H37" s="289"/>
      <c r="I37" s="289"/>
      <c r="J37" s="290"/>
      <c r="K37" s="40"/>
      <c r="W37"/>
      <c r="X37" s="447" t="s">
        <v>662</v>
      </c>
    </row>
    <row r="38" spans="1:24" ht="15" customHeight="1" x14ac:dyDescent="0.25">
      <c r="A38" s="596"/>
      <c r="B38" s="595"/>
      <c r="C38" s="260"/>
      <c r="D38" s="69"/>
      <c r="E38" s="70" t="s">
        <v>261</v>
      </c>
      <c r="F38" s="71"/>
      <c r="G38" s="72">
        <v>0</v>
      </c>
      <c r="H38" s="60"/>
      <c r="I38" s="60"/>
      <c r="J38" s="73"/>
      <c r="K38" s="40"/>
      <c r="W38"/>
      <c r="X38" s="447" t="s">
        <v>218</v>
      </c>
    </row>
    <row r="39" spans="1:24" ht="15" customHeight="1" x14ac:dyDescent="0.25">
      <c r="A39" s="596"/>
      <c r="B39" s="595"/>
      <c r="C39" s="260"/>
      <c r="D39" s="69"/>
      <c r="E39" s="74" t="s">
        <v>262</v>
      </c>
      <c r="F39" s="71">
        <v>1</v>
      </c>
      <c r="G39" s="72">
        <v>0</v>
      </c>
      <c r="H39" s="60"/>
      <c r="I39" s="60"/>
      <c r="J39" s="73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/>
      <c r="X39" s="447" t="s">
        <v>671</v>
      </c>
    </row>
    <row r="40" spans="1:24" ht="15.75" customHeight="1" thickBot="1" x14ac:dyDescent="0.3">
      <c r="A40" s="596"/>
      <c r="B40" s="595"/>
      <c r="C40" s="76"/>
      <c r="D40" s="77"/>
      <c r="E40" s="78" t="s">
        <v>263</v>
      </c>
      <c r="F40" s="340">
        <v>1</v>
      </c>
      <c r="G40" s="72">
        <v>0</v>
      </c>
      <c r="H40" s="60"/>
      <c r="I40" s="60"/>
      <c r="J40" s="73"/>
      <c r="K40" s="40"/>
      <c r="W40"/>
      <c r="X40" s="447" t="s">
        <v>677</v>
      </c>
    </row>
    <row r="41" spans="1:24" ht="15.75" customHeight="1" thickBot="1" x14ac:dyDescent="0.3">
      <c r="A41" s="596"/>
      <c r="B41" s="595"/>
      <c r="C41" s="599" t="s">
        <v>264</v>
      </c>
      <c r="D41" s="600"/>
      <c r="E41" s="79" t="s">
        <v>265</v>
      </c>
      <c r="F41" s="81">
        <v>1</v>
      </c>
      <c r="G41" s="72">
        <v>0</v>
      </c>
      <c r="H41" s="60"/>
      <c r="I41" s="60"/>
      <c r="J41" s="73"/>
      <c r="K41" s="40"/>
      <c r="L41" s="264" t="str" cm="1">
        <f t="array" ref="L41">_xlfn.TEXTJOIN(", ",TRUE,_xlfn._xlws.FILTER(I:I,AND(G:G=1,E:E="*45х190*"),""))</f>
        <v/>
      </c>
      <c r="W41"/>
      <c r="X41" s="447" t="s">
        <v>683</v>
      </c>
    </row>
    <row r="42" spans="1:24" ht="15" customHeight="1" x14ac:dyDescent="0.25">
      <c r="A42" s="596"/>
      <c r="B42" s="595"/>
      <c r="C42" s="260"/>
      <c r="D42" s="260"/>
      <c r="E42" s="289" t="s">
        <v>266</v>
      </c>
      <c r="F42" s="71">
        <v>1</v>
      </c>
      <c r="G42" s="72">
        <v>0</v>
      </c>
      <c r="H42" s="60"/>
      <c r="I42" s="60"/>
      <c r="J42" s="73"/>
      <c r="K42" s="40"/>
      <c r="W42"/>
      <c r="X42" s="447" t="s">
        <v>686</v>
      </c>
    </row>
    <row r="43" spans="1:24" ht="15" customHeight="1" x14ac:dyDescent="0.25">
      <c r="A43" s="596"/>
      <c r="B43" s="595"/>
      <c r="C43" s="260"/>
      <c r="D43" s="82"/>
      <c r="E43" s="59" t="s">
        <v>267</v>
      </c>
      <c r="F43" s="71">
        <v>1</v>
      </c>
      <c r="G43" s="72">
        <v>0</v>
      </c>
      <c r="H43" s="60"/>
      <c r="I43" s="60"/>
      <c r="J43" s="73"/>
      <c r="K43" s="40"/>
      <c r="W43"/>
      <c r="X43" s="447" t="s">
        <v>695</v>
      </c>
    </row>
    <row r="44" spans="1:24" ht="15" customHeight="1" x14ac:dyDescent="0.25">
      <c r="A44" s="596"/>
      <c r="B44" s="595"/>
      <c r="C44" s="260"/>
      <c r="D44" s="82"/>
      <c r="E44" s="59" t="s">
        <v>268</v>
      </c>
      <c r="F44" s="71">
        <v>1</v>
      </c>
      <c r="G44" s="72">
        <v>0</v>
      </c>
      <c r="H44" s="60"/>
      <c r="I44" s="60"/>
      <c r="J44" s="73"/>
      <c r="K44" s="40"/>
      <c r="W44"/>
      <c r="X44" s="447" t="s">
        <v>702</v>
      </c>
    </row>
    <row r="45" spans="1:24" ht="15" customHeight="1" x14ac:dyDescent="0.25">
      <c r="A45" s="596"/>
      <c r="B45" s="595"/>
      <c r="C45" s="260"/>
      <c r="D45" s="82"/>
      <c r="E45" s="59" t="s">
        <v>269</v>
      </c>
      <c r="F45" s="71">
        <v>1</v>
      </c>
      <c r="G45" s="72">
        <v>0</v>
      </c>
      <c r="H45" s="60"/>
      <c r="I45" s="60"/>
      <c r="J45" s="73"/>
      <c r="K45" s="40"/>
      <c r="W45"/>
      <c r="X45" s="447" t="s">
        <v>721</v>
      </c>
    </row>
    <row r="46" spans="1:24" ht="15" customHeight="1" x14ac:dyDescent="0.25">
      <c r="A46" s="596"/>
      <c r="B46" s="595"/>
      <c r="C46" s="260"/>
      <c r="D46" s="82"/>
      <c r="E46" s="59" t="s">
        <v>270</v>
      </c>
      <c r="F46" s="71">
        <v>1</v>
      </c>
      <c r="G46" s="72">
        <v>0</v>
      </c>
      <c r="H46" s="60"/>
      <c r="I46" s="60"/>
      <c r="J46" s="73"/>
      <c r="K46" s="40"/>
      <c r="W46"/>
      <c r="X46" s="447" t="s">
        <v>724</v>
      </c>
    </row>
    <row r="47" spans="1:24" ht="15" customHeight="1" x14ac:dyDescent="0.25">
      <c r="A47" s="596"/>
      <c r="B47" s="595"/>
      <c r="C47" s="260"/>
      <c r="D47" s="82"/>
      <c r="E47" s="59" t="s">
        <v>271</v>
      </c>
      <c r="F47" s="71">
        <v>1</v>
      </c>
      <c r="G47" s="72">
        <v>0</v>
      </c>
      <c r="H47" s="60"/>
      <c r="I47" s="60"/>
      <c r="J47" s="73"/>
      <c r="K47" s="40"/>
      <c r="W47"/>
      <c r="X47" s="454" t="s">
        <v>732</v>
      </c>
    </row>
    <row r="48" spans="1:24" ht="15" customHeight="1" thickBot="1" x14ac:dyDescent="0.3">
      <c r="A48" s="596"/>
      <c r="B48" s="595"/>
      <c r="C48" s="260"/>
      <c r="D48" s="82"/>
      <c r="E48" s="59" t="s">
        <v>272</v>
      </c>
      <c r="F48" s="71">
        <v>1</v>
      </c>
      <c r="G48" s="72">
        <v>0</v>
      </c>
      <c r="H48" s="60"/>
      <c r="I48" s="60"/>
      <c r="J48" s="73"/>
      <c r="K48" s="40"/>
      <c r="W48"/>
      <c r="X48" s="447" t="s">
        <v>738</v>
      </c>
    </row>
    <row r="49" spans="1:24" ht="15" customHeight="1" x14ac:dyDescent="0.25">
      <c r="A49" s="564" t="s">
        <v>273</v>
      </c>
      <c r="B49" s="565"/>
      <c r="C49" s="569" t="s">
        <v>274</v>
      </c>
      <c r="D49" s="83" t="s">
        <v>217</v>
      </c>
      <c r="E49" s="315" t="s">
        <v>275</v>
      </c>
      <c r="F49" s="342"/>
      <c r="G49" s="342">
        <v>0</v>
      </c>
      <c r="H49" s="282" t="s">
        <v>276</v>
      </c>
      <c r="I49" s="282" t="s">
        <v>277</v>
      </c>
      <c r="J49" s="288"/>
      <c r="K49" s="40"/>
      <c r="W49"/>
      <c r="X49" s="454" t="s">
        <v>743</v>
      </c>
    </row>
    <row r="50" spans="1:24" ht="15" customHeight="1" x14ac:dyDescent="0.25">
      <c r="A50" s="566"/>
      <c r="B50" s="567"/>
      <c r="C50" s="570"/>
      <c r="D50" s="84" t="s">
        <v>278</v>
      </c>
      <c r="E50" s="311" t="s">
        <v>279</v>
      </c>
      <c r="F50" s="85"/>
      <c r="G50" s="85">
        <v>0</v>
      </c>
      <c r="H50" s="86" t="s">
        <v>158</v>
      </c>
      <c r="I50" s="86" t="s">
        <v>280</v>
      </c>
      <c r="J50" s="57"/>
      <c r="K50" s="40"/>
      <c r="W50"/>
      <c r="X50" s="447" t="s">
        <v>701</v>
      </c>
    </row>
    <row r="51" spans="1:24" ht="15" customHeight="1" x14ac:dyDescent="0.25">
      <c r="A51" s="566"/>
      <c r="B51" s="567"/>
      <c r="C51" s="570"/>
      <c r="D51" s="87" t="s">
        <v>215</v>
      </c>
      <c r="E51" s="311" t="s">
        <v>281</v>
      </c>
      <c r="F51" s="343"/>
      <c r="G51" s="343">
        <v>0</v>
      </c>
      <c r="H51" s="289" t="s">
        <v>276</v>
      </c>
      <c r="I51" s="289" t="s">
        <v>282</v>
      </c>
      <c r="J51" s="316" t="s">
        <v>283</v>
      </c>
      <c r="K51" s="40"/>
      <c r="W51"/>
      <c r="X51" s="447" t="s">
        <v>761</v>
      </c>
    </row>
    <row r="52" spans="1:24" ht="15" customHeight="1" x14ac:dyDescent="0.25">
      <c r="A52" s="566"/>
      <c r="B52" s="567"/>
      <c r="C52" s="570"/>
      <c r="D52" s="87" t="s">
        <v>215</v>
      </c>
      <c r="E52" s="311" t="s">
        <v>284</v>
      </c>
      <c r="F52" s="344">
        <v>1</v>
      </c>
      <c r="G52" s="344">
        <v>0</v>
      </c>
      <c r="H52" s="75" t="s">
        <v>276</v>
      </c>
      <c r="I52" s="75" t="s">
        <v>285</v>
      </c>
      <c r="J52" s="88" t="s">
        <v>286</v>
      </c>
      <c r="K52" s="40"/>
      <c r="W52"/>
      <c r="X52" s="447" t="s">
        <v>1178</v>
      </c>
    </row>
    <row r="53" spans="1:24" ht="15" customHeight="1" x14ac:dyDescent="0.25">
      <c r="A53" s="566"/>
      <c r="B53" s="567"/>
      <c r="C53" s="570"/>
      <c r="D53" s="87" t="s">
        <v>215</v>
      </c>
      <c r="E53" s="89" t="s">
        <v>287</v>
      </c>
      <c r="F53" s="90">
        <v>1</v>
      </c>
      <c r="G53" s="90">
        <v>0</v>
      </c>
      <c r="H53" s="75" t="s">
        <v>276</v>
      </c>
      <c r="I53" s="75" t="s">
        <v>288</v>
      </c>
      <c r="J53" s="88" t="s">
        <v>289</v>
      </c>
      <c r="K53" s="40"/>
      <c r="W53"/>
      <c r="X53" s="447" t="s">
        <v>790</v>
      </c>
    </row>
    <row r="54" spans="1:24" ht="15" customHeight="1" x14ac:dyDescent="0.25">
      <c r="A54" s="566"/>
      <c r="B54" s="567"/>
      <c r="C54" s="570"/>
      <c r="D54" s="91" t="s">
        <v>290</v>
      </c>
      <c r="E54" s="89" t="s">
        <v>291</v>
      </c>
      <c r="F54" s="90">
        <v>1</v>
      </c>
      <c r="G54" s="90">
        <v>0</v>
      </c>
      <c r="H54" s="75" t="s">
        <v>292</v>
      </c>
      <c r="I54" s="75" t="s">
        <v>293</v>
      </c>
      <c r="J54" s="88" t="s">
        <v>294</v>
      </c>
      <c r="K54" s="40"/>
      <c r="W54"/>
      <c r="X54" s="447" t="s">
        <v>794</v>
      </c>
    </row>
    <row r="55" spans="1:24" ht="15" customHeight="1" x14ac:dyDescent="0.25">
      <c r="A55" s="566"/>
      <c r="B55" s="567"/>
      <c r="C55" s="570"/>
      <c r="D55" s="92" t="s">
        <v>207</v>
      </c>
      <c r="E55" s="89" t="s">
        <v>295</v>
      </c>
      <c r="F55" s="93">
        <f>F51</f>
        <v>0</v>
      </c>
      <c r="G55" s="93">
        <v>0</v>
      </c>
      <c r="H55" s="75" t="s">
        <v>276</v>
      </c>
      <c r="I55" s="75"/>
      <c r="J55" s="88"/>
      <c r="K55" s="40"/>
      <c r="W55"/>
      <c r="X55" s="447" t="s">
        <v>799</v>
      </c>
    </row>
    <row r="56" spans="1:24" ht="15" customHeight="1" thickBot="1" x14ac:dyDescent="0.3">
      <c r="A56" s="566"/>
      <c r="B56" s="567"/>
      <c r="C56" s="571"/>
      <c r="D56" s="94" t="s">
        <v>215</v>
      </c>
      <c r="E56" s="95" t="s">
        <v>296</v>
      </c>
      <c r="F56" s="93">
        <f>ROUNDUP(F51/20,0)</f>
        <v>0</v>
      </c>
      <c r="G56" s="96">
        <v>0</v>
      </c>
      <c r="H56" s="60" t="s">
        <v>276</v>
      </c>
      <c r="I56" s="60" t="s">
        <v>297</v>
      </c>
      <c r="J56" s="88" t="s">
        <v>298</v>
      </c>
      <c r="K56" s="40"/>
      <c r="W56"/>
      <c r="X56" s="447" t="s">
        <v>802</v>
      </c>
    </row>
    <row r="57" spans="1:24" ht="15" customHeight="1" x14ac:dyDescent="0.25">
      <c r="A57" s="566"/>
      <c r="B57" s="568"/>
      <c r="C57" s="537" t="s">
        <v>299</v>
      </c>
      <c r="D57" s="302" t="s">
        <v>290</v>
      </c>
      <c r="E57" s="323" t="s">
        <v>300</v>
      </c>
      <c r="F57" s="345"/>
      <c r="G57" s="346">
        <v>0</v>
      </c>
      <c r="H57" s="287" t="s">
        <v>237</v>
      </c>
      <c r="I57" s="287" t="s">
        <v>301</v>
      </c>
      <c r="J57" s="313"/>
      <c r="K57" s="40"/>
      <c r="W57"/>
      <c r="X57" s="454" t="s">
        <v>815</v>
      </c>
    </row>
    <row r="58" spans="1:24" ht="15" customHeight="1" x14ac:dyDescent="0.25">
      <c r="A58" s="566"/>
      <c r="B58" s="568"/>
      <c r="C58" s="538"/>
      <c r="D58" s="270" t="s">
        <v>290</v>
      </c>
      <c r="E58" s="311" t="s">
        <v>302</v>
      </c>
      <c r="F58" s="347"/>
      <c r="G58" s="348">
        <v>0</v>
      </c>
      <c r="H58" s="289" t="s">
        <v>237</v>
      </c>
      <c r="I58" s="289" t="s">
        <v>301</v>
      </c>
      <c r="J58" s="316"/>
      <c r="K58" s="40"/>
      <c r="W58"/>
      <c r="X58" s="447" t="s">
        <v>821</v>
      </c>
    </row>
    <row r="59" spans="1:24" ht="15" customHeight="1" x14ac:dyDescent="0.25">
      <c r="A59" s="566"/>
      <c r="B59" s="568"/>
      <c r="C59" s="538"/>
      <c r="D59" s="270" t="s">
        <v>290</v>
      </c>
      <c r="E59" s="311" t="s">
        <v>303</v>
      </c>
      <c r="F59" s="347"/>
      <c r="G59" s="348">
        <v>0</v>
      </c>
      <c r="H59" s="289" t="s">
        <v>304</v>
      </c>
      <c r="I59" s="289" t="s">
        <v>301</v>
      </c>
      <c r="J59" s="316" t="s">
        <v>305</v>
      </c>
      <c r="K59" s="40"/>
      <c r="W59"/>
      <c r="X59" s="447" t="s">
        <v>824</v>
      </c>
    </row>
    <row r="60" spans="1:24" ht="15" customHeight="1" thickBot="1" x14ac:dyDescent="0.3">
      <c r="A60" s="566"/>
      <c r="B60" s="568"/>
      <c r="C60" s="539"/>
      <c r="D60" s="320" t="s">
        <v>290</v>
      </c>
      <c r="E60" s="308" t="s">
        <v>306</v>
      </c>
      <c r="F60" s="349"/>
      <c r="G60" s="350">
        <v>0</v>
      </c>
      <c r="H60" s="285" t="s">
        <v>237</v>
      </c>
      <c r="I60" s="285" t="s">
        <v>307</v>
      </c>
      <c r="J60" s="314" t="s">
        <v>308</v>
      </c>
      <c r="K60" s="40"/>
      <c r="W60"/>
      <c r="X60" s="447" t="s">
        <v>833</v>
      </c>
    </row>
    <row r="61" spans="1:24" ht="15.75" customHeight="1" x14ac:dyDescent="0.25">
      <c r="A61" s="558" t="s">
        <v>1160</v>
      </c>
      <c r="B61" s="572"/>
      <c r="C61" s="530" t="s">
        <v>309</v>
      </c>
      <c r="D61" s="97" t="s">
        <v>207</v>
      </c>
      <c r="E61" s="98" t="s">
        <v>310</v>
      </c>
      <c r="F61" s="99"/>
      <c r="G61" s="99">
        <v>0</v>
      </c>
      <c r="H61" s="80" t="s">
        <v>276</v>
      </c>
      <c r="I61" s="80" t="s">
        <v>311</v>
      </c>
      <c r="J61" s="57"/>
      <c r="K61" s="40"/>
      <c r="O61" s="351">
        <v>19.23</v>
      </c>
      <c r="P61" s="267">
        <f t="shared" ref="P61:P62" si="0">O61*F62</f>
        <v>0</v>
      </c>
      <c r="W61"/>
      <c r="X61" s="447" t="s">
        <v>1180</v>
      </c>
    </row>
    <row r="62" spans="1:24" ht="15" customHeight="1" x14ac:dyDescent="0.25">
      <c r="A62" s="573"/>
      <c r="B62" s="574"/>
      <c r="C62" s="533"/>
      <c r="D62" s="266" t="s">
        <v>207</v>
      </c>
      <c r="E62" s="311" t="s">
        <v>312</v>
      </c>
      <c r="F62" s="343"/>
      <c r="G62" s="343">
        <v>0</v>
      </c>
      <c r="H62" s="289" t="s">
        <v>276</v>
      </c>
      <c r="I62" s="289" t="s">
        <v>313</v>
      </c>
      <c r="J62" s="352"/>
      <c r="K62" s="40"/>
      <c r="O62" s="351">
        <v>26.31</v>
      </c>
      <c r="P62" s="267">
        <f t="shared" si="0"/>
        <v>0</v>
      </c>
      <c r="W62"/>
      <c r="X62" s="447" t="s">
        <v>846</v>
      </c>
    </row>
    <row r="63" spans="1:24" ht="15" customHeight="1" x14ac:dyDescent="0.25">
      <c r="A63" s="573"/>
      <c r="B63" s="574"/>
      <c r="C63" s="533"/>
      <c r="D63" s="266" t="s">
        <v>207</v>
      </c>
      <c r="E63" s="311" t="s">
        <v>1161</v>
      </c>
      <c r="F63" s="343"/>
      <c r="G63" s="343">
        <v>0</v>
      </c>
      <c r="H63" s="289" t="s">
        <v>276</v>
      </c>
      <c r="I63" s="289" t="s">
        <v>313</v>
      </c>
      <c r="J63" s="290" t="str" cm="1">
        <f t="array" ref="J63:J65">CONCATENATE(I61:I63&amp;", ")</f>
        <v xml:space="preserve">На подкладную доску, </v>
      </c>
      <c r="K63" s="40"/>
      <c r="L63" s="40"/>
      <c r="M63" s="40"/>
      <c r="N63" s="40"/>
      <c r="O63" s="351"/>
      <c r="P63" s="267"/>
      <c r="Q63" s="40"/>
      <c r="R63" s="40"/>
      <c r="S63" s="40"/>
      <c r="T63" s="40"/>
      <c r="U63" s="40"/>
      <c r="V63" s="40"/>
      <c r="W63"/>
      <c r="X63" s="447" t="s">
        <v>847</v>
      </c>
    </row>
    <row r="64" spans="1:24" ht="15" customHeight="1" x14ac:dyDescent="0.25">
      <c r="A64" s="573"/>
      <c r="B64" s="574"/>
      <c r="C64" s="533"/>
      <c r="D64" s="327" t="s">
        <v>314</v>
      </c>
      <c r="E64" s="328" t="s">
        <v>315</v>
      </c>
      <c r="F64" s="90">
        <v>1</v>
      </c>
      <c r="G64" s="90">
        <v>0</v>
      </c>
      <c r="H64" s="289" t="s">
        <v>239</v>
      </c>
      <c r="I64" s="280" t="s">
        <v>316</v>
      </c>
      <c r="J64" s="290" t="str">
        <v xml:space="preserve">подкладная доска, </v>
      </c>
      <c r="K64" s="40"/>
      <c r="L64" s="40"/>
      <c r="M64" s="40"/>
      <c r="N64" s="40"/>
      <c r="O64" s="351"/>
      <c r="P64" s="267"/>
      <c r="Q64" s="40"/>
      <c r="R64" s="40"/>
      <c r="S64" s="40"/>
      <c r="T64" s="40"/>
      <c r="U64" s="40"/>
      <c r="V64" s="40"/>
      <c r="W64"/>
      <c r="X64" s="447" t="s">
        <v>849</v>
      </c>
    </row>
    <row r="65" spans="1:24" ht="15" customHeight="1" x14ac:dyDescent="0.25">
      <c r="A65" s="573"/>
      <c r="B65" s="574"/>
      <c r="C65" s="533"/>
      <c r="D65" s="267" t="s">
        <v>211</v>
      </c>
      <c r="E65" s="311" t="s">
        <v>279</v>
      </c>
      <c r="F65" s="343"/>
      <c r="G65" s="343">
        <v>0</v>
      </c>
      <c r="H65" s="289" t="s">
        <v>158</v>
      </c>
      <c r="I65" s="289" t="s">
        <v>317</v>
      </c>
      <c r="J65" s="290" t="str">
        <v xml:space="preserve">подкладная доска, </v>
      </c>
      <c r="K65" s="40"/>
      <c r="L65" s="264">
        <v>1</v>
      </c>
      <c r="O65" s="351"/>
      <c r="P65" s="267">
        <f>O65*F65</f>
        <v>0</v>
      </c>
      <c r="W65"/>
      <c r="X65" s="447" t="s">
        <v>856</v>
      </c>
    </row>
    <row r="66" spans="1:24" ht="15" customHeight="1" x14ac:dyDescent="0.25">
      <c r="A66" s="573"/>
      <c r="B66" s="574"/>
      <c r="C66" s="533"/>
      <c r="D66" s="268" t="s">
        <v>213</v>
      </c>
      <c r="E66" s="289" t="s">
        <v>318</v>
      </c>
      <c r="F66" s="343"/>
      <c r="G66" s="343">
        <v>0</v>
      </c>
      <c r="H66" s="289"/>
      <c r="I66" s="75" t="s">
        <v>319</v>
      </c>
      <c r="J66" s="290"/>
      <c r="K66" s="40"/>
      <c r="L66" s="40">
        <v>1</v>
      </c>
      <c r="M66" s="40"/>
      <c r="N66" s="40"/>
      <c r="O66" s="351"/>
      <c r="P66" s="267"/>
      <c r="Q66" s="40"/>
      <c r="R66" s="40"/>
      <c r="S66" s="40"/>
      <c r="T66" s="40"/>
      <c r="U66" s="40"/>
      <c r="V66" s="40"/>
      <c r="W66"/>
      <c r="X66" s="447" t="s">
        <v>874</v>
      </c>
    </row>
    <row r="67" spans="1:24" ht="15" customHeight="1" x14ac:dyDescent="0.25">
      <c r="A67" s="573"/>
      <c r="B67" s="574"/>
      <c r="C67" s="533"/>
      <c r="D67" s="269" t="s">
        <v>215</v>
      </c>
      <c r="E67" s="311" t="s">
        <v>320</v>
      </c>
      <c r="F67" s="343"/>
      <c r="G67" s="343">
        <v>0</v>
      </c>
      <c r="H67" s="289" t="s">
        <v>276</v>
      </c>
      <c r="I67" s="289" t="s">
        <v>321</v>
      </c>
      <c r="J67" s="290" t="s">
        <v>322</v>
      </c>
      <c r="K67" s="40"/>
      <c r="O67" s="351"/>
      <c r="P67" s="267">
        <f t="shared" ref="P67:P161" si="1">O67*F67</f>
        <v>0</v>
      </c>
      <c r="W67"/>
      <c r="X67" s="447" t="s">
        <v>884</v>
      </c>
    </row>
    <row r="68" spans="1:24" ht="15" customHeight="1" x14ac:dyDescent="0.25">
      <c r="A68" s="573"/>
      <c r="B68" s="574"/>
      <c r="C68" s="533"/>
      <c r="D68" s="269" t="s">
        <v>215</v>
      </c>
      <c r="E68" s="311" t="s">
        <v>323</v>
      </c>
      <c r="F68" s="344">
        <v>3</v>
      </c>
      <c r="G68" s="344">
        <v>0</v>
      </c>
      <c r="H68" s="60" t="s">
        <v>276</v>
      </c>
      <c r="I68" s="60" t="s">
        <v>324</v>
      </c>
      <c r="J68" s="73"/>
      <c r="K68" s="40"/>
      <c r="O68" s="351"/>
      <c r="P68" s="267"/>
      <c r="W68"/>
      <c r="X68" s="447" t="s">
        <v>1189</v>
      </c>
    </row>
    <row r="69" spans="1:24" ht="15" customHeight="1" x14ac:dyDescent="0.25">
      <c r="A69" s="573"/>
      <c r="B69" s="574"/>
      <c r="C69" s="533"/>
      <c r="D69" s="100" t="s">
        <v>205</v>
      </c>
      <c r="E69" s="95" t="s">
        <v>325</v>
      </c>
      <c r="F69" s="90">
        <v>1</v>
      </c>
      <c r="G69" s="90">
        <v>0</v>
      </c>
      <c r="H69" s="60" t="s">
        <v>326</v>
      </c>
      <c r="I69" s="60" t="s">
        <v>327</v>
      </c>
      <c r="J69" s="73" t="s">
        <v>328</v>
      </c>
      <c r="K69" s="40"/>
      <c r="L69" s="40"/>
      <c r="O69" s="351"/>
      <c r="P69" s="267">
        <f t="shared" si="1"/>
        <v>0</v>
      </c>
      <c r="W69"/>
      <c r="X69" s="447" t="s">
        <v>1190</v>
      </c>
    </row>
    <row r="70" spans="1:24" ht="15.75" customHeight="1" thickBot="1" x14ac:dyDescent="0.3">
      <c r="A70" s="573"/>
      <c r="B70" s="574"/>
      <c r="C70" s="532"/>
      <c r="D70" s="283" t="s">
        <v>215</v>
      </c>
      <c r="E70" s="308" t="s">
        <v>329</v>
      </c>
      <c r="F70" s="353">
        <f>ROUNDUP(F67/45,0)</f>
        <v>0</v>
      </c>
      <c r="G70" s="353">
        <v>0</v>
      </c>
      <c r="H70" s="285" t="s">
        <v>276</v>
      </c>
      <c r="I70" s="285" t="s">
        <v>297</v>
      </c>
      <c r="J70" s="286" t="s">
        <v>330</v>
      </c>
      <c r="K70" s="40"/>
      <c r="O70" s="351"/>
      <c r="P70" s="267">
        <f t="shared" si="1"/>
        <v>0</v>
      </c>
      <c r="W70"/>
      <c r="X70" s="447" t="s">
        <v>906</v>
      </c>
    </row>
    <row r="71" spans="1:24" ht="15.75" customHeight="1" x14ac:dyDescent="0.25">
      <c r="A71" s="573"/>
      <c r="B71" s="574"/>
      <c r="C71" s="529" t="s">
        <v>331</v>
      </c>
      <c r="D71" s="281" t="s">
        <v>207</v>
      </c>
      <c r="E71" s="287" t="s">
        <v>332</v>
      </c>
      <c r="F71" s="342"/>
      <c r="G71" s="342">
        <v>0</v>
      </c>
      <c r="H71" s="287" t="s">
        <v>276</v>
      </c>
      <c r="I71" s="101" t="s">
        <v>333</v>
      </c>
      <c r="J71" s="354"/>
      <c r="K71" s="40"/>
      <c r="O71" s="351">
        <v>26.31</v>
      </c>
      <c r="P71" s="267">
        <f t="shared" si="1"/>
        <v>0</v>
      </c>
      <c r="W71"/>
      <c r="X71" s="447" t="s">
        <v>943</v>
      </c>
    </row>
    <row r="72" spans="1:24" ht="15.75" customHeight="1" x14ac:dyDescent="0.25">
      <c r="A72" s="573"/>
      <c r="B72" s="574"/>
      <c r="C72" s="533"/>
      <c r="D72" s="266" t="s">
        <v>207</v>
      </c>
      <c r="E72" s="289" t="s">
        <v>334</v>
      </c>
      <c r="F72" s="102"/>
      <c r="G72" s="102">
        <v>0</v>
      </c>
      <c r="H72" s="289" t="s">
        <v>276</v>
      </c>
      <c r="I72" s="289" t="s">
        <v>333</v>
      </c>
      <c r="J72" s="355"/>
      <c r="K72" s="40"/>
      <c r="L72" s="40"/>
      <c r="M72" s="40"/>
      <c r="N72" s="40"/>
      <c r="O72" s="351"/>
      <c r="P72" s="267"/>
      <c r="Q72" s="40"/>
      <c r="R72" s="40"/>
      <c r="S72" s="40"/>
      <c r="T72" s="40"/>
      <c r="U72" s="40"/>
      <c r="V72" s="40"/>
      <c r="W72"/>
      <c r="X72" s="447" t="s">
        <v>965</v>
      </c>
    </row>
    <row r="73" spans="1:24" ht="15.75" customHeight="1" x14ac:dyDescent="0.25">
      <c r="A73" s="573"/>
      <c r="B73" s="574"/>
      <c r="C73" s="533"/>
      <c r="D73" s="327" t="s">
        <v>314</v>
      </c>
      <c r="E73" s="328" t="s">
        <v>315</v>
      </c>
      <c r="F73" s="90">
        <v>1</v>
      </c>
      <c r="G73" s="90">
        <v>0</v>
      </c>
      <c r="H73" s="289" t="s">
        <v>239</v>
      </c>
      <c r="I73" s="280" t="s">
        <v>316</v>
      </c>
      <c r="J73" s="355"/>
      <c r="K73" s="40"/>
      <c r="L73" s="40"/>
      <c r="M73" s="40"/>
      <c r="N73" s="40"/>
      <c r="O73" s="351"/>
      <c r="P73" s="267"/>
      <c r="Q73" s="40"/>
      <c r="R73" s="40"/>
      <c r="S73" s="40"/>
      <c r="T73" s="40"/>
      <c r="U73" s="40"/>
      <c r="V73" s="40"/>
      <c r="W73"/>
      <c r="X73" s="447" t="s">
        <v>968</v>
      </c>
    </row>
    <row r="74" spans="1:24" ht="15" customHeight="1" x14ac:dyDescent="0.25">
      <c r="A74" s="573"/>
      <c r="B74" s="574"/>
      <c r="C74" s="533"/>
      <c r="D74" s="267" t="s">
        <v>211</v>
      </c>
      <c r="E74" s="356" t="s">
        <v>335</v>
      </c>
      <c r="F74" s="343"/>
      <c r="G74" s="343">
        <v>0</v>
      </c>
      <c r="H74" s="289" t="s">
        <v>336</v>
      </c>
      <c r="I74" s="289" t="s">
        <v>337</v>
      </c>
      <c r="J74" s="290" t="s">
        <v>338</v>
      </c>
      <c r="K74" s="40"/>
      <c r="O74" s="351"/>
      <c r="P74" s="267">
        <f t="shared" si="1"/>
        <v>0</v>
      </c>
      <c r="W74"/>
      <c r="X74" s="447" t="s">
        <v>989</v>
      </c>
    </row>
    <row r="75" spans="1:24" ht="15" customHeight="1" x14ac:dyDescent="0.25">
      <c r="A75" s="573"/>
      <c r="B75" s="574"/>
      <c r="C75" s="533"/>
      <c r="D75" s="269" t="s">
        <v>215</v>
      </c>
      <c r="E75" s="311" t="s">
        <v>339</v>
      </c>
      <c r="F75" s="103">
        <f>(F71+F72)*21</f>
        <v>0</v>
      </c>
      <c r="G75" s="103">
        <v>0</v>
      </c>
      <c r="H75" s="289" t="s">
        <v>276</v>
      </c>
      <c r="I75" s="289" t="s">
        <v>340</v>
      </c>
      <c r="J75" s="290" t="s">
        <v>341</v>
      </c>
      <c r="K75" s="40"/>
      <c r="O75" s="351"/>
      <c r="P75" s="267">
        <f t="shared" si="1"/>
        <v>0</v>
      </c>
      <c r="W75"/>
      <c r="X75" s="447" t="s">
        <v>998</v>
      </c>
    </row>
    <row r="76" spans="1:24" ht="15" customHeight="1" x14ac:dyDescent="0.25">
      <c r="A76" s="573"/>
      <c r="B76" s="574"/>
      <c r="C76" s="533"/>
      <c r="D76" s="269" t="s">
        <v>215</v>
      </c>
      <c r="E76" s="311" t="s">
        <v>342</v>
      </c>
      <c r="F76" s="343">
        <v>20</v>
      </c>
      <c r="G76" s="343">
        <v>0</v>
      </c>
      <c r="H76" s="289" t="s">
        <v>276</v>
      </c>
      <c r="I76" s="289" t="s">
        <v>343</v>
      </c>
      <c r="J76" s="290" t="s">
        <v>344</v>
      </c>
      <c r="K76" s="40"/>
      <c r="O76" s="351"/>
      <c r="P76" s="267">
        <f t="shared" si="1"/>
        <v>0</v>
      </c>
      <c r="W76"/>
      <c r="X76" s="447" t="s">
        <v>617</v>
      </c>
    </row>
    <row r="77" spans="1:24" ht="15" customHeight="1" thickBot="1" x14ac:dyDescent="0.3">
      <c r="A77" s="575"/>
      <c r="B77" s="576"/>
      <c r="C77" s="533"/>
      <c r="D77" s="104" t="s">
        <v>215</v>
      </c>
      <c r="E77" s="95" t="s">
        <v>345</v>
      </c>
      <c r="F77" s="96">
        <f>F76</f>
        <v>20</v>
      </c>
      <c r="G77" s="96">
        <v>0</v>
      </c>
      <c r="H77" s="60" t="s">
        <v>276</v>
      </c>
      <c r="I77" s="60" t="s">
        <v>343</v>
      </c>
      <c r="J77" s="73" t="s">
        <v>344</v>
      </c>
      <c r="K77" s="40"/>
      <c r="O77" s="351"/>
      <c r="P77" s="267">
        <f t="shared" si="1"/>
        <v>0</v>
      </c>
      <c r="W77"/>
      <c r="X77" s="311" t="s">
        <v>247</v>
      </c>
    </row>
    <row r="78" spans="1:24" ht="15" customHeight="1" x14ac:dyDescent="0.25">
      <c r="A78" s="559" t="s">
        <v>346</v>
      </c>
      <c r="B78" s="584"/>
      <c r="C78" s="526" t="s">
        <v>347</v>
      </c>
      <c r="D78" s="281" t="s">
        <v>207</v>
      </c>
      <c r="E78" s="323" t="s">
        <v>310</v>
      </c>
      <c r="F78" s="342"/>
      <c r="G78" s="342">
        <v>0</v>
      </c>
      <c r="H78" s="287" t="s">
        <v>276</v>
      </c>
      <c r="I78" s="282" t="s">
        <v>347</v>
      </c>
      <c r="J78" s="288"/>
      <c r="K78" s="40"/>
      <c r="O78" s="351"/>
      <c r="P78" s="267"/>
      <c r="W78"/>
      <c r="X78" s="447" t="s">
        <v>256</v>
      </c>
    </row>
    <row r="79" spans="1:24" ht="15" customHeight="1" x14ac:dyDescent="0.25">
      <c r="A79" s="612"/>
      <c r="B79" s="586"/>
      <c r="C79" s="527"/>
      <c r="D79" s="266" t="s">
        <v>207</v>
      </c>
      <c r="E79" s="280" t="s">
        <v>312</v>
      </c>
      <c r="F79" s="343"/>
      <c r="G79" s="343">
        <v>0</v>
      </c>
      <c r="H79" s="289" t="s">
        <v>171</v>
      </c>
      <c r="I79" s="280" t="s">
        <v>347</v>
      </c>
      <c r="J79" s="290"/>
      <c r="K79" s="40"/>
      <c r="O79" s="351"/>
      <c r="P79" s="267"/>
      <c r="W79"/>
      <c r="X79" s="311"/>
    </row>
    <row r="80" spans="1:24" ht="15" customHeight="1" thickBot="1" x14ac:dyDescent="0.3">
      <c r="A80" s="612"/>
      <c r="B80" s="586"/>
      <c r="C80" s="528"/>
      <c r="D80" s="291" t="s">
        <v>207</v>
      </c>
      <c r="E80" s="292" t="s">
        <v>348</v>
      </c>
      <c r="F80" s="357"/>
      <c r="G80" s="357">
        <v>0</v>
      </c>
      <c r="H80" s="285" t="s">
        <v>276</v>
      </c>
      <c r="I80" s="292" t="s">
        <v>347</v>
      </c>
      <c r="J80" s="286"/>
      <c r="K80" s="40"/>
      <c r="O80" s="351"/>
      <c r="P80" s="267"/>
      <c r="W80"/>
      <c r="X80" s="311"/>
    </row>
    <row r="81" spans="1:24" ht="15.75" customHeight="1" x14ac:dyDescent="0.25">
      <c r="A81" s="612"/>
      <c r="B81" s="587"/>
      <c r="C81" s="530" t="s">
        <v>349</v>
      </c>
      <c r="D81" s="105" t="s">
        <v>215</v>
      </c>
      <c r="E81" s="106" t="s">
        <v>350</v>
      </c>
      <c r="F81" s="85"/>
      <c r="G81" s="85">
        <v>0</v>
      </c>
      <c r="H81" s="56" t="s">
        <v>276</v>
      </c>
      <c r="I81" s="56" t="s">
        <v>351</v>
      </c>
      <c r="J81" s="57"/>
      <c r="K81" s="40"/>
      <c r="O81" s="351"/>
      <c r="P81" s="267">
        <f t="shared" si="1"/>
        <v>0</v>
      </c>
      <c r="W81"/>
      <c r="X81" s="311"/>
    </row>
    <row r="82" spans="1:24" ht="15.75" customHeight="1" x14ac:dyDescent="0.25">
      <c r="A82" s="612"/>
      <c r="B82" s="587"/>
      <c r="C82" s="530"/>
      <c r="D82" s="269" t="s">
        <v>215</v>
      </c>
      <c r="E82" s="106" t="s">
        <v>352</v>
      </c>
      <c r="F82" s="85"/>
      <c r="G82" s="85">
        <v>0</v>
      </c>
      <c r="H82" s="56" t="s">
        <v>276</v>
      </c>
      <c r="I82" s="56" t="s">
        <v>353</v>
      </c>
      <c r="J82" s="57"/>
      <c r="K82" s="40"/>
      <c r="L82" s="40"/>
      <c r="M82" s="40"/>
      <c r="N82" s="40"/>
      <c r="O82" s="351"/>
      <c r="P82" s="267">
        <f t="shared" si="1"/>
        <v>0</v>
      </c>
      <c r="Q82" s="40"/>
      <c r="R82" s="40"/>
      <c r="S82" s="40"/>
      <c r="T82" s="40"/>
      <c r="U82" s="40"/>
      <c r="V82" s="40"/>
      <c r="W82"/>
      <c r="X82" s="311"/>
    </row>
    <row r="83" spans="1:24" ht="15.75" customHeight="1" x14ac:dyDescent="0.25">
      <c r="A83" s="612"/>
      <c r="B83" s="587"/>
      <c r="C83" s="530"/>
      <c r="D83" s="269" t="s">
        <v>215</v>
      </c>
      <c r="E83" s="106" t="s">
        <v>354</v>
      </c>
      <c r="F83" s="85"/>
      <c r="G83" s="85">
        <v>0</v>
      </c>
      <c r="H83" s="56" t="s">
        <v>276</v>
      </c>
      <c r="I83" s="56" t="s">
        <v>353</v>
      </c>
      <c r="J83" s="57"/>
      <c r="K83" s="40"/>
      <c r="L83" s="40"/>
      <c r="M83" s="40"/>
      <c r="N83" s="40"/>
      <c r="O83" s="351"/>
      <c r="P83" s="267">
        <f t="shared" si="1"/>
        <v>0</v>
      </c>
      <c r="Q83" s="40"/>
      <c r="R83" s="40"/>
      <c r="S83" s="40"/>
      <c r="T83" s="40"/>
      <c r="U83" s="40"/>
      <c r="V83" s="40"/>
      <c r="W83"/>
      <c r="X83"/>
    </row>
    <row r="84" spans="1:24" ht="15" customHeight="1" x14ac:dyDescent="0.25">
      <c r="A84" s="612"/>
      <c r="B84" s="587"/>
      <c r="C84" s="530"/>
      <c r="D84" s="269" t="s">
        <v>215</v>
      </c>
      <c r="E84" s="295" t="s">
        <v>355</v>
      </c>
      <c r="F84" s="343"/>
      <c r="G84" s="85">
        <v>0</v>
      </c>
      <c r="H84" s="289" t="s">
        <v>276</v>
      </c>
      <c r="I84" s="289" t="s">
        <v>351</v>
      </c>
      <c r="J84" s="57"/>
      <c r="K84" s="40"/>
      <c r="L84" s="40"/>
      <c r="M84" s="40"/>
      <c r="N84" s="40"/>
      <c r="O84" s="351"/>
      <c r="P84" s="267">
        <f t="shared" si="1"/>
        <v>0</v>
      </c>
      <c r="Q84" s="40"/>
      <c r="R84" s="40"/>
      <c r="S84" s="40"/>
      <c r="T84" s="40"/>
      <c r="U84" s="40"/>
      <c r="V84" s="40"/>
      <c r="W84"/>
      <c r="X84"/>
    </row>
    <row r="85" spans="1:24" ht="15" customHeight="1" x14ac:dyDescent="0.25">
      <c r="A85" s="612"/>
      <c r="B85" s="587"/>
      <c r="C85" s="530"/>
      <c r="D85" s="269" t="s">
        <v>215</v>
      </c>
      <c r="E85" s="295" t="s">
        <v>356</v>
      </c>
      <c r="F85" s="85"/>
      <c r="G85" s="343">
        <v>0</v>
      </c>
      <c r="H85" s="289" t="s">
        <v>276</v>
      </c>
      <c r="I85" s="289" t="s">
        <v>357</v>
      </c>
      <c r="J85" s="57"/>
      <c r="K85" s="40"/>
      <c r="L85" s="40"/>
      <c r="M85" s="40"/>
      <c r="N85" s="40"/>
      <c r="O85" s="351"/>
      <c r="P85" s="267">
        <f t="shared" si="1"/>
        <v>0</v>
      </c>
      <c r="Q85" s="40"/>
      <c r="R85" s="40"/>
      <c r="S85" s="40"/>
      <c r="T85" s="40"/>
      <c r="U85" s="40"/>
      <c r="V85" s="40"/>
      <c r="W85"/>
      <c r="X85"/>
    </row>
    <row r="86" spans="1:24" ht="15" customHeight="1" x14ac:dyDescent="0.25">
      <c r="A86" s="612"/>
      <c r="B86" s="587"/>
      <c r="C86" s="530"/>
      <c r="D86" s="269" t="s">
        <v>215</v>
      </c>
      <c r="E86" s="295" t="s">
        <v>358</v>
      </c>
      <c r="F86" s="343"/>
      <c r="G86" s="343">
        <v>0</v>
      </c>
      <c r="H86" s="289" t="s">
        <v>276</v>
      </c>
      <c r="I86" s="280" t="s">
        <v>359</v>
      </c>
      <c r="J86" s="290"/>
      <c r="K86" s="40"/>
      <c r="O86" s="351"/>
      <c r="P86" s="267">
        <f t="shared" si="1"/>
        <v>0</v>
      </c>
      <c r="W86"/>
      <c r="X86"/>
    </row>
    <row r="87" spans="1:24" ht="15" customHeight="1" x14ac:dyDescent="0.25">
      <c r="A87" s="612"/>
      <c r="B87" s="587"/>
      <c r="C87" s="530"/>
      <c r="D87" s="269" t="s">
        <v>215</v>
      </c>
      <c r="E87" s="295" t="s">
        <v>360</v>
      </c>
      <c r="F87" s="343"/>
      <c r="G87" s="343">
        <v>0</v>
      </c>
      <c r="H87" s="289" t="s">
        <v>276</v>
      </c>
      <c r="I87" s="280" t="s">
        <v>361</v>
      </c>
      <c r="J87" s="290"/>
      <c r="K87" s="40"/>
      <c r="O87" s="351"/>
      <c r="P87" s="267"/>
      <c r="W87"/>
      <c r="X87"/>
    </row>
    <row r="88" spans="1:24" ht="15" customHeight="1" x14ac:dyDescent="0.25">
      <c r="A88" s="612"/>
      <c r="B88" s="587"/>
      <c r="C88" s="530"/>
      <c r="D88" s="269" t="s">
        <v>215</v>
      </c>
      <c r="E88" s="295" t="s">
        <v>362</v>
      </c>
      <c r="F88" s="343"/>
      <c r="G88" s="343">
        <v>0</v>
      </c>
      <c r="H88" s="289" t="s">
        <v>276</v>
      </c>
      <c r="I88" s="280" t="s">
        <v>361</v>
      </c>
      <c r="J88" s="290"/>
      <c r="K88" s="40"/>
      <c r="O88" s="351"/>
      <c r="P88" s="267">
        <f t="shared" si="1"/>
        <v>0</v>
      </c>
      <c r="W88"/>
      <c r="X88"/>
    </row>
    <row r="89" spans="1:24" ht="15" customHeight="1" x14ac:dyDescent="0.25">
      <c r="A89" s="612"/>
      <c r="B89" s="587"/>
      <c r="C89" s="530"/>
      <c r="D89" s="269" t="s">
        <v>215</v>
      </c>
      <c r="E89" s="295" t="s">
        <v>363</v>
      </c>
      <c r="F89" s="343"/>
      <c r="G89" s="343">
        <v>0</v>
      </c>
      <c r="H89" s="289" t="s">
        <v>276</v>
      </c>
      <c r="I89" s="280" t="s">
        <v>361</v>
      </c>
      <c r="J89" s="290"/>
      <c r="K89" s="40"/>
      <c r="O89" s="351"/>
      <c r="P89" s="267"/>
      <c r="W89"/>
      <c r="X89"/>
    </row>
    <row r="90" spans="1:24" ht="15" customHeight="1" x14ac:dyDescent="0.25">
      <c r="A90" s="612"/>
      <c r="B90" s="587"/>
      <c r="C90" s="530"/>
      <c r="D90" s="269" t="s">
        <v>215</v>
      </c>
      <c r="E90" s="295" t="s">
        <v>364</v>
      </c>
      <c r="F90" s="343"/>
      <c r="G90" s="343">
        <v>0</v>
      </c>
      <c r="H90" s="289" t="s">
        <v>276</v>
      </c>
      <c r="I90" s="280" t="s">
        <v>361</v>
      </c>
      <c r="J90" s="290"/>
      <c r="K90" s="40"/>
      <c r="O90" s="351"/>
      <c r="P90" s="267">
        <f t="shared" si="1"/>
        <v>0</v>
      </c>
      <c r="W90"/>
      <c r="X90"/>
    </row>
    <row r="91" spans="1:24" ht="15" customHeight="1" x14ac:dyDescent="0.25">
      <c r="A91" s="612"/>
      <c r="B91" s="587"/>
      <c r="C91" s="530"/>
      <c r="D91" s="269" t="s">
        <v>215</v>
      </c>
      <c r="E91" s="295" t="s">
        <v>365</v>
      </c>
      <c r="F91" s="343"/>
      <c r="G91" s="343">
        <v>0</v>
      </c>
      <c r="H91" s="289" t="s">
        <v>276</v>
      </c>
      <c r="I91" s="280" t="s">
        <v>361</v>
      </c>
      <c r="J91" s="290"/>
      <c r="K91" s="40"/>
      <c r="O91" s="351"/>
      <c r="P91" s="267"/>
      <c r="W91"/>
      <c r="X91"/>
    </row>
    <row r="92" spans="1:24" ht="15" customHeight="1" x14ac:dyDescent="0.25">
      <c r="A92" s="612"/>
      <c r="B92" s="587"/>
      <c r="C92" s="530"/>
      <c r="D92" s="269" t="s">
        <v>215</v>
      </c>
      <c r="E92" s="358" t="s">
        <v>366</v>
      </c>
      <c r="F92" s="343"/>
      <c r="G92" s="343">
        <v>0</v>
      </c>
      <c r="H92" s="289" t="s">
        <v>276</v>
      </c>
      <c r="I92" s="280" t="s">
        <v>361</v>
      </c>
      <c r="J92" s="290"/>
      <c r="K92" s="40"/>
      <c r="O92" s="351"/>
      <c r="P92" s="267">
        <f t="shared" si="1"/>
        <v>0</v>
      </c>
      <c r="W92"/>
      <c r="X92"/>
    </row>
    <row r="93" spans="1:24" ht="15" customHeight="1" x14ac:dyDescent="0.25">
      <c r="A93" s="612"/>
      <c r="B93" s="587"/>
      <c r="C93" s="530"/>
      <c r="D93" s="269" t="s">
        <v>215</v>
      </c>
      <c r="E93" s="295" t="s">
        <v>367</v>
      </c>
      <c r="F93" s="343"/>
      <c r="G93" s="343">
        <v>0</v>
      </c>
      <c r="H93" s="289" t="s">
        <v>276</v>
      </c>
      <c r="I93" s="280" t="s">
        <v>361</v>
      </c>
      <c r="J93" s="290"/>
      <c r="K93" s="40"/>
      <c r="O93" s="351"/>
      <c r="P93" s="267">
        <f t="shared" si="1"/>
        <v>0</v>
      </c>
      <c r="W93"/>
      <c r="X93"/>
    </row>
    <row r="94" spans="1:24" ht="15" customHeight="1" x14ac:dyDescent="0.25">
      <c r="A94" s="612"/>
      <c r="B94" s="587"/>
      <c r="C94" s="530"/>
      <c r="D94" s="269" t="s">
        <v>215</v>
      </c>
      <c r="E94" s="295" t="s">
        <v>368</v>
      </c>
      <c r="F94" s="343"/>
      <c r="G94" s="343">
        <v>0</v>
      </c>
      <c r="H94" s="289" t="s">
        <v>276</v>
      </c>
      <c r="I94" s="280" t="s">
        <v>361</v>
      </c>
      <c r="J94" s="290"/>
      <c r="K94" s="40"/>
      <c r="O94" s="351"/>
      <c r="P94" s="267"/>
      <c r="W94"/>
      <c r="X94"/>
    </row>
    <row r="95" spans="1:24" ht="15.75" customHeight="1" x14ac:dyDescent="0.25">
      <c r="A95" s="612"/>
      <c r="B95" s="587"/>
      <c r="C95" s="530"/>
      <c r="D95" s="269" t="s">
        <v>215</v>
      </c>
      <c r="E95" s="295" t="s">
        <v>369</v>
      </c>
      <c r="F95" s="343"/>
      <c r="G95" s="343">
        <v>0</v>
      </c>
      <c r="H95" s="289" t="s">
        <v>276</v>
      </c>
      <c r="I95" s="280" t="s">
        <v>361</v>
      </c>
      <c r="J95" s="290"/>
      <c r="K95" s="40"/>
      <c r="O95" s="351"/>
      <c r="P95" s="267">
        <f t="shared" si="1"/>
        <v>0</v>
      </c>
      <c r="W95"/>
      <c r="X95"/>
    </row>
    <row r="96" spans="1:24" ht="15.75" customHeight="1" x14ac:dyDescent="0.25">
      <c r="A96" s="612"/>
      <c r="B96" s="587"/>
      <c r="C96" s="530"/>
      <c r="D96" s="269" t="s">
        <v>215</v>
      </c>
      <c r="E96" s="295" t="s">
        <v>370</v>
      </c>
      <c r="F96" s="343"/>
      <c r="G96" s="343">
        <v>0</v>
      </c>
      <c r="H96" s="289" t="s">
        <v>276</v>
      </c>
      <c r="I96" s="280" t="s">
        <v>361</v>
      </c>
      <c r="J96" s="290"/>
      <c r="K96" s="40"/>
      <c r="O96" s="351"/>
      <c r="P96" s="267"/>
      <c r="W96"/>
      <c r="X96"/>
    </row>
    <row r="97" spans="1:24" ht="15.75" customHeight="1" x14ac:dyDescent="0.25">
      <c r="A97" s="612"/>
      <c r="B97" s="587"/>
      <c r="C97" s="530"/>
      <c r="D97" s="269" t="s">
        <v>215</v>
      </c>
      <c r="E97" s="295" t="s">
        <v>371</v>
      </c>
      <c r="F97" s="343"/>
      <c r="G97" s="343">
        <v>0</v>
      </c>
      <c r="H97" s="289" t="s">
        <v>276</v>
      </c>
      <c r="I97" s="280" t="s">
        <v>361</v>
      </c>
      <c r="J97" s="290"/>
      <c r="K97" s="40"/>
      <c r="O97" s="351"/>
      <c r="P97" s="267"/>
      <c r="W97"/>
      <c r="X97"/>
    </row>
    <row r="98" spans="1:24" ht="15.75" customHeight="1" x14ac:dyDescent="0.25">
      <c r="A98" s="612"/>
      <c r="B98" s="587"/>
      <c r="C98" s="530"/>
      <c r="D98" s="269" t="s">
        <v>215</v>
      </c>
      <c r="E98" s="295" t="s">
        <v>372</v>
      </c>
      <c r="F98" s="343"/>
      <c r="G98" s="343">
        <v>0</v>
      </c>
      <c r="H98" s="289" t="s">
        <v>276</v>
      </c>
      <c r="I98" s="280" t="s">
        <v>373</v>
      </c>
      <c r="J98" s="290"/>
      <c r="K98" s="40"/>
      <c r="O98" s="351"/>
      <c r="P98" s="267"/>
      <c r="W98"/>
      <c r="X98"/>
    </row>
    <row r="99" spans="1:24" ht="15" customHeight="1" x14ac:dyDescent="0.25">
      <c r="A99" s="612"/>
      <c r="B99" s="587"/>
      <c r="C99" s="530"/>
      <c r="D99" s="269" t="s">
        <v>215</v>
      </c>
      <c r="E99" s="295" t="s">
        <v>339</v>
      </c>
      <c r="F99" s="343"/>
      <c r="G99" s="343">
        <v>0</v>
      </c>
      <c r="H99" s="289" t="s">
        <v>276</v>
      </c>
      <c r="I99" s="280" t="s">
        <v>374</v>
      </c>
      <c r="J99" s="290"/>
      <c r="K99" s="40"/>
      <c r="O99" s="351"/>
      <c r="P99" s="267">
        <f t="shared" si="1"/>
        <v>0</v>
      </c>
      <c r="Q99" s="42"/>
      <c r="W99"/>
      <c r="X99"/>
    </row>
    <row r="100" spans="1:24" ht="15" customHeight="1" x14ac:dyDescent="0.25">
      <c r="A100" s="612"/>
      <c r="B100" s="587"/>
      <c r="C100" s="530"/>
      <c r="D100" s="104" t="s">
        <v>215</v>
      </c>
      <c r="E100" s="95" t="s">
        <v>375</v>
      </c>
      <c r="F100" s="96">
        <f>((F81+F84+F85)*16)+(F86*30)+((F88+F89+F90+F91+F92)*38)+((F93+F95+F94+F96+F97)*34)+((F82+F83)*20+F87*20)+(F98*20)+(F120*80)</f>
        <v>0</v>
      </c>
      <c r="G100" s="93">
        <v>0</v>
      </c>
      <c r="H100" s="60" t="s">
        <v>276</v>
      </c>
      <c r="I100" s="289" t="s">
        <v>376</v>
      </c>
      <c r="J100" s="290"/>
      <c r="K100" s="40"/>
      <c r="O100" s="351"/>
      <c r="P100" s="267">
        <f t="shared" si="1"/>
        <v>0</v>
      </c>
      <c r="W100"/>
      <c r="X100"/>
    </row>
    <row r="101" spans="1:24" ht="15" customHeight="1" x14ac:dyDescent="0.25">
      <c r="A101" s="612"/>
      <c r="B101" s="587"/>
      <c r="C101" s="530"/>
      <c r="D101" s="269" t="s">
        <v>215</v>
      </c>
      <c r="E101" s="295" t="s">
        <v>377</v>
      </c>
      <c r="F101" s="96">
        <f>F87*3</f>
        <v>0</v>
      </c>
      <c r="G101" s="93">
        <v>0</v>
      </c>
      <c r="H101" s="289" t="s">
        <v>276</v>
      </c>
      <c r="I101" s="289" t="s">
        <v>378</v>
      </c>
      <c r="J101" s="290"/>
      <c r="K101" s="40"/>
      <c r="O101" s="351"/>
      <c r="P101" s="267"/>
      <c r="W101"/>
      <c r="X101"/>
    </row>
    <row r="102" spans="1:24" ht="15" customHeight="1" x14ac:dyDescent="0.25">
      <c r="A102" s="612"/>
      <c r="B102" s="587"/>
      <c r="C102" s="530"/>
      <c r="D102" s="269" t="s">
        <v>215</v>
      </c>
      <c r="E102" s="311" t="s">
        <v>379</v>
      </c>
      <c r="F102" s="359">
        <f>F101*2</f>
        <v>0</v>
      </c>
      <c r="G102" s="360">
        <v>0</v>
      </c>
      <c r="H102" s="289" t="s">
        <v>276</v>
      </c>
      <c r="I102" s="361" t="s">
        <v>378</v>
      </c>
      <c r="J102" s="290"/>
      <c r="K102" s="40"/>
      <c r="O102" s="351"/>
      <c r="P102" s="267"/>
      <c r="W102"/>
      <c r="X102"/>
    </row>
    <row r="103" spans="1:24" ht="15" customHeight="1" x14ac:dyDescent="0.25">
      <c r="A103" s="612"/>
      <c r="B103" s="587"/>
      <c r="C103" s="530"/>
      <c r="D103" s="269" t="s">
        <v>215</v>
      </c>
      <c r="E103" s="311" t="s">
        <v>380</v>
      </c>
      <c r="F103" s="359">
        <f>F101*2</f>
        <v>0</v>
      </c>
      <c r="G103" s="360">
        <v>0</v>
      </c>
      <c r="H103" s="289" t="s">
        <v>276</v>
      </c>
      <c r="I103" s="280" t="s">
        <v>378</v>
      </c>
      <c r="J103" s="290"/>
      <c r="K103" s="40"/>
      <c r="O103" s="351"/>
      <c r="P103" s="267"/>
      <c r="W103"/>
      <c r="X103"/>
    </row>
    <row r="104" spans="1:24" ht="15" customHeight="1" x14ac:dyDescent="0.25">
      <c r="A104" s="612"/>
      <c r="B104" s="587"/>
      <c r="C104" s="530"/>
      <c r="D104" s="269" t="s">
        <v>215</v>
      </c>
      <c r="E104" s="295" t="s">
        <v>381</v>
      </c>
      <c r="F104" s="362"/>
      <c r="G104" s="343">
        <v>0</v>
      </c>
      <c r="H104" s="289" t="s">
        <v>276</v>
      </c>
      <c r="I104" s="280" t="s">
        <v>382</v>
      </c>
      <c r="J104" s="290"/>
      <c r="K104" s="40"/>
      <c r="L104" s="40"/>
      <c r="M104" s="40"/>
      <c r="N104" s="40"/>
      <c r="O104" s="351"/>
      <c r="P104" s="267">
        <f t="shared" si="1"/>
        <v>0</v>
      </c>
      <c r="Q104" s="40"/>
      <c r="R104" s="40"/>
      <c r="S104" s="40"/>
      <c r="T104" s="40"/>
      <c r="U104" s="40"/>
      <c r="V104" s="40"/>
      <c r="W104"/>
      <c r="X104"/>
    </row>
    <row r="105" spans="1:24" ht="15" customHeight="1" x14ac:dyDescent="0.25">
      <c r="A105" s="612"/>
      <c r="B105" s="587"/>
      <c r="C105" s="530"/>
      <c r="D105" s="104" t="s">
        <v>215</v>
      </c>
      <c r="E105" s="89" t="s">
        <v>383</v>
      </c>
      <c r="F105" s="102"/>
      <c r="G105" s="343">
        <v>0</v>
      </c>
      <c r="H105" s="60" t="s">
        <v>276</v>
      </c>
      <c r="I105" s="75" t="s">
        <v>384</v>
      </c>
      <c r="J105" s="73" t="s">
        <v>385</v>
      </c>
      <c r="K105" s="40"/>
      <c r="L105" s="40"/>
      <c r="M105" s="40"/>
      <c r="N105" s="40"/>
      <c r="O105" s="351"/>
      <c r="P105" s="267">
        <f t="shared" si="1"/>
        <v>0</v>
      </c>
      <c r="Q105" s="40"/>
      <c r="R105" s="40"/>
      <c r="S105" s="40"/>
      <c r="T105" s="40"/>
      <c r="U105" s="40"/>
      <c r="V105" s="40"/>
      <c r="W105"/>
      <c r="X105"/>
    </row>
    <row r="106" spans="1:24" x14ac:dyDescent="0.25">
      <c r="A106" s="612"/>
      <c r="B106" s="587"/>
      <c r="C106" s="530"/>
      <c r="D106" s="269" t="s">
        <v>215</v>
      </c>
      <c r="E106" s="295" t="s">
        <v>386</v>
      </c>
      <c r="F106" s="343"/>
      <c r="G106" s="343">
        <v>0</v>
      </c>
      <c r="H106" s="280" t="s">
        <v>276</v>
      </c>
      <c r="I106" s="280" t="s">
        <v>387</v>
      </c>
      <c r="J106" s="363" t="s">
        <v>388</v>
      </c>
      <c r="K106" s="40"/>
      <c r="L106" s="40"/>
      <c r="M106" s="40"/>
      <c r="N106" s="40"/>
      <c r="O106" s="351"/>
      <c r="P106" s="267"/>
      <c r="Q106" s="40"/>
      <c r="R106" s="40"/>
      <c r="S106" s="40"/>
      <c r="T106" s="40"/>
      <c r="U106" s="40"/>
      <c r="V106" s="40"/>
      <c r="W106"/>
      <c r="X106"/>
    </row>
    <row r="107" spans="1:24" x14ac:dyDescent="0.25">
      <c r="A107" s="612"/>
      <c r="B107" s="587"/>
      <c r="C107" s="530"/>
      <c r="D107" s="269" t="s">
        <v>215</v>
      </c>
      <c r="E107" s="295" t="s">
        <v>389</v>
      </c>
      <c r="F107" s="102"/>
      <c r="G107" s="343">
        <v>0</v>
      </c>
      <c r="H107" s="280" t="s">
        <v>276</v>
      </c>
      <c r="I107" s="86" t="s">
        <v>387</v>
      </c>
      <c r="J107" s="363" t="s">
        <v>390</v>
      </c>
      <c r="K107" s="40"/>
      <c r="L107" s="40"/>
      <c r="M107" s="40"/>
      <c r="N107" s="40"/>
      <c r="O107" s="351"/>
      <c r="P107" s="267"/>
      <c r="Q107" s="40"/>
      <c r="R107" s="40"/>
      <c r="S107" s="40"/>
      <c r="T107" s="40"/>
      <c r="U107" s="40"/>
      <c r="V107" s="40"/>
      <c r="W107"/>
      <c r="X107"/>
    </row>
    <row r="108" spans="1:24" ht="15" customHeight="1" x14ac:dyDescent="0.25">
      <c r="A108" s="612"/>
      <c r="B108" s="587"/>
      <c r="C108" s="530"/>
      <c r="D108" s="104" t="s">
        <v>215</v>
      </c>
      <c r="E108" s="60" t="s">
        <v>391</v>
      </c>
      <c r="F108" s="102"/>
      <c r="G108" s="102">
        <v>0</v>
      </c>
      <c r="H108" s="75" t="s">
        <v>276</v>
      </c>
      <c r="I108" s="60" t="s">
        <v>392</v>
      </c>
      <c r="J108" s="73"/>
      <c r="K108" s="40"/>
      <c r="L108" s="40"/>
      <c r="M108" s="40"/>
      <c r="N108" s="40"/>
      <c r="O108" s="351"/>
      <c r="P108" s="267"/>
      <c r="Q108" s="40"/>
      <c r="R108" s="40"/>
      <c r="S108" s="40"/>
      <c r="T108" s="40"/>
      <c r="U108" s="40"/>
      <c r="V108" s="40"/>
      <c r="W108"/>
      <c r="X108"/>
    </row>
    <row r="109" spans="1:24" ht="15" customHeight="1" thickBot="1" x14ac:dyDescent="0.3">
      <c r="A109" s="612"/>
      <c r="B109" s="587"/>
      <c r="C109" s="530"/>
      <c r="D109" s="107" t="s">
        <v>205</v>
      </c>
      <c r="E109" s="95" t="s">
        <v>393</v>
      </c>
      <c r="F109" s="102"/>
      <c r="G109" s="102">
        <v>0</v>
      </c>
      <c r="H109" s="75" t="s">
        <v>394</v>
      </c>
      <c r="I109" s="60" t="s">
        <v>395</v>
      </c>
      <c r="J109" s="73"/>
      <c r="K109" s="40"/>
      <c r="L109" s="40"/>
      <c r="M109" s="40"/>
      <c r="N109" s="40"/>
      <c r="O109" s="351"/>
      <c r="P109" s="267"/>
      <c r="Q109" s="40"/>
      <c r="R109" s="40"/>
      <c r="S109" s="40"/>
      <c r="T109" s="40"/>
      <c r="U109" s="40"/>
      <c r="V109" s="40"/>
      <c r="W109"/>
      <c r="X109"/>
    </row>
    <row r="110" spans="1:24" ht="15" customHeight="1" x14ac:dyDescent="0.25">
      <c r="A110" s="612"/>
      <c r="B110" s="586"/>
      <c r="C110" s="614" t="s">
        <v>396</v>
      </c>
      <c r="D110" s="276" t="s">
        <v>215</v>
      </c>
      <c r="E110" s="323" t="s">
        <v>397</v>
      </c>
      <c r="F110" s="364">
        <f>F116*2</f>
        <v>0</v>
      </c>
      <c r="G110" s="365">
        <v>0</v>
      </c>
      <c r="H110" s="282" t="s">
        <v>276</v>
      </c>
      <c r="I110" s="287" t="s">
        <v>398</v>
      </c>
      <c r="J110" s="288"/>
      <c r="K110" s="40"/>
      <c r="L110" s="40"/>
      <c r="M110" s="40"/>
      <c r="N110" s="40"/>
      <c r="O110" s="351"/>
      <c r="P110" s="267"/>
      <c r="Q110" s="40"/>
      <c r="R110" s="40"/>
      <c r="S110" s="40"/>
      <c r="T110" s="40"/>
      <c r="U110" s="40"/>
      <c r="V110" s="40"/>
      <c r="W110"/>
      <c r="X110"/>
    </row>
    <row r="111" spans="1:24" ht="15" customHeight="1" x14ac:dyDescent="0.25">
      <c r="A111" s="612"/>
      <c r="B111" s="586"/>
      <c r="C111" s="615"/>
      <c r="D111" s="269" t="s">
        <v>215</v>
      </c>
      <c r="E111" s="311" t="s">
        <v>399</v>
      </c>
      <c r="F111" s="366">
        <f>F116*2</f>
        <v>0</v>
      </c>
      <c r="G111" s="367">
        <v>0</v>
      </c>
      <c r="H111" s="280" t="s">
        <v>276</v>
      </c>
      <c r="I111" s="289" t="s">
        <v>398</v>
      </c>
      <c r="J111" s="290"/>
      <c r="K111" s="40"/>
      <c r="L111" s="40"/>
      <c r="M111" s="40"/>
      <c r="N111" s="40"/>
      <c r="O111" s="351"/>
      <c r="P111" s="267"/>
      <c r="Q111" s="40"/>
      <c r="R111" s="40"/>
      <c r="S111" s="40"/>
      <c r="T111" s="40"/>
      <c r="U111" s="40"/>
      <c r="V111" s="40"/>
      <c r="W111"/>
      <c r="X111"/>
    </row>
    <row r="112" spans="1:24" ht="15" customHeight="1" x14ac:dyDescent="0.25">
      <c r="A112" s="612"/>
      <c r="B112" s="586"/>
      <c r="C112" s="615"/>
      <c r="D112" s="269" t="s">
        <v>215</v>
      </c>
      <c r="E112" s="311" t="s">
        <v>400</v>
      </c>
      <c r="F112" s="366">
        <f>F110*2</f>
        <v>0</v>
      </c>
      <c r="G112" s="367">
        <v>0</v>
      </c>
      <c r="H112" s="280" t="s">
        <v>276</v>
      </c>
      <c r="I112" s="289" t="s">
        <v>398</v>
      </c>
      <c r="J112" s="290"/>
      <c r="K112" s="40"/>
      <c r="L112" s="40"/>
      <c r="M112" s="40"/>
      <c r="N112" s="40"/>
      <c r="O112" s="351"/>
      <c r="P112" s="267"/>
      <c r="Q112" s="40"/>
      <c r="R112" s="40"/>
      <c r="S112" s="40"/>
      <c r="T112" s="40"/>
      <c r="U112" s="40"/>
      <c r="V112" s="40"/>
      <c r="W112"/>
      <c r="X112"/>
    </row>
    <row r="113" spans="1:24" ht="15" customHeight="1" x14ac:dyDescent="0.25">
      <c r="A113" s="612"/>
      <c r="B113" s="586"/>
      <c r="C113" s="615"/>
      <c r="D113" s="269" t="s">
        <v>215</v>
      </c>
      <c r="E113" s="311" t="s">
        <v>401</v>
      </c>
      <c r="F113" s="366">
        <f>F111</f>
        <v>0</v>
      </c>
      <c r="G113" s="367">
        <v>0</v>
      </c>
      <c r="H113" s="280" t="s">
        <v>276</v>
      </c>
      <c r="I113" s="289" t="s">
        <v>398</v>
      </c>
      <c r="J113" s="290"/>
      <c r="K113" s="40"/>
      <c r="L113" s="40"/>
      <c r="M113" s="40"/>
      <c r="N113" s="40"/>
      <c r="O113" s="351"/>
      <c r="P113" s="267"/>
      <c r="Q113" s="40"/>
      <c r="R113" s="40"/>
      <c r="S113" s="40"/>
      <c r="T113" s="40"/>
      <c r="U113" s="40"/>
      <c r="V113" s="40"/>
      <c r="W113"/>
      <c r="X113"/>
    </row>
    <row r="114" spans="1:24" ht="15" customHeight="1" x14ac:dyDescent="0.25">
      <c r="A114" s="612"/>
      <c r="B114" s="586"/>
      <c r="C114" s="615"/>
      <c r="D114" s="269" t="s">
        <v>215</v>
      </c>
      <c r="E114" s="311" t="s">
        <v>402</v>
      </c>
      <c r="F114" s="366">
        <f>F112</f>
        <v>0</v>
      </c>
      <c r="G114" s="367">
        <v>0</v>
      </c>
      <c r="H114" s="280" t="s">
        <v>276</v>
      </c>
      <c r="I114" s="289" t="s">
        <v>398</v>
      </c>
      <c r="J114" s="290"/>
      <c r="K114" s="40"/>
      <c r="L114" s="40"/>
      <c r="M114" s="40"/>
      <c r="N114" s="40"/>
      <c r="O114" s="351"/>
      <c r="P114" s="267"/>
      <c r="Q114" s="40"/>
      <c r="R114" s="40"/>
      <c r="S114" s="40"/>
      <c r="T114" s="40"/>
      <c r="U114" s="40"/>
      <c r="V114" s="40"/>
      <c r="W114"/>
      <c r="X114"/>
    </row>
    <row r="115" spans="1:24" ht="15" customHeight="1" x14ac:dyDescent="0.25">
      <c r="A115" s="612"/>
      <c r="B115" s="586"/>
      <c r="C115" s="615"/>
      <c r="D115" s="269" t="s">
        <v>215</v>
      </c>
      <c r="E115" s="311" t="s">
        <v>403</v>
      </c>
      <c r="F115" s="368"/>
      <c r="G115" s="343">
        <v>0</v>
      </c>
      <c r="H115" s="280" t="s">
        <v>276</v>
      </c>
      <c r="I115" s="289" t="s">
        <v>398</v>
      </c>
      <c r="J115" s="290"/>
      <c r="K115" s="40"/>
      <c r="L115" s="40"/>
      <c r="M115" s="40"/>
      <c r="N115" s="40"/>
      <c r="O115" s="351"/>
      <c r="P115" s="267"/>
      <c r="Q115" s="40"/>
      <c r="R115" s="40"/>
      <c r="S115" s="40"/>
      <c r="T115" s="40"/>
      <c r="U115" s="40"/>
      <c r="V115" s="40"/>
      <c r="W115"/>
      <c r="X115"/>
    </row>
    <row r="116" spans="1:24" ht="15" customHeight="1" x14ac:dyDescent="0.25">
      <c r="A116" s="612"/>
      <c r="B116" s="586"/>
      <c r="C116" s="615"/>
      <c r="D116" s="269" t="s">
        <v>215</v>
      </c>
      <c r="E116" s="311" t="s">
        <v>404</v>
      </c>
      <c r="F116" s="368"/>
      <c r="G116" s="343">
        <v>0</v>
      </c>
      <c r="H116" s="280" t="s">
        <v>276</v>
      </c>
      <c r="I116" s="289" t="s">
        <v>396</v>
      </c>
      <c r="J116" s="290"/>
      <c r="K116" s="40"/>
      <c r="L116" s="40"/>
      <c r="M116" s="40"/>
      <c r="N116" s="40"/>
      <c r="O116" s="351"/>
      <c r="P116" s="267"/>
      <c r="Q116" s="40"/>
      <c r="R116" s="40"/>
      <c r="S116" s="40"/>
      <c r="T116" s="40"/>
      <c r="U116" s="40"/>
      <c r="V116" s="40"/>
      <c r="W116"/>
      <c r="X116"/>
    </row>
    <row r="117" spans="1:24" ht="15" customHeight="1" x14ac:dyDescent="0.25">
      <c r="A117" s="612"/>
      <c r="B117" s="586"/>
      <c r="C117" s="615"/>
      <c r="D117" s="269" t="s">
        <v>215</v>
      </c>
      <c r="E117" s="311" t="s">
        <v>405</v>
      </c>
      <c r="F117" s="366">
        <f>F116</f>
        <v>0</v>
      </c>
      <c r="G117" s="367">
        <v>0</v>
      </c>
      <c r="H117" s="280" t="s">
        <v>276</v>
      </c>
      <c r="I117" s="289" t="s">
        <v>406</v>
      </c>
      <c r="J117" s="290"/>
      <c r="K117" s="40"/>
      <c r="L117" s="40"/>
      <c r="M117" s="40"/>
      <c r="N117" s="40"/>
      <c r="O117" s="351"/>
      <c r="P117" s="267"/>
      <c r="Q117" s="40"/>
      <c r="R117" s="40"/>
      <c r="S117" s="40"/>
      <c r="T117" s="40"/>
      <c r="U117" s="40"/>
      <c r="V117" s="40"/>
      <c r="W117"/>
      <c r="X117"/>
    </row>
    <row r="118" spans="1:24" ht="15" customHeight="1" x14ac:dyDescent="0.25">
      <c r="A118" s="612"/>
      <c r="B118" s="586"/>
      <c r="C118" s="615"/>
      <c r="D118" s="269" t="s">
        <v>215</v>
      </c>
      <c r="E118" s="311" t="s">
        <v>407</v>
      </c>
      <c r="F118" s="366">
        <f>F119*4</f>
        <v>0</v>
      </c>
      <c r="G118" s="367">
        <v>0</v>
      </c>
      <c r="H118" s="280" t="s">
        <v>276</v>
      </c>
      <c r="I118" s="289" t="s">
        <v>398</v>
      </c>
      <c r="J118" s="290"/>
      <c r="K118" s="40"/>
      <c r="L118" s="40"/>
      <c r="M118" s="40"/>
      <c r="N118" s="40"/>
      <c r="O118" s="351"/>
      <c r="P118" s="267"/>
      <c r="Q118" s="40"/>
      <c r="R118" s="40"/>
      <c r="S118" s="40"/>
      <c r="T118" s="40"/>
      <c r="U118" s="40"/>
      <c r="V118" s="40"/>
      <c r="W118"/>
      <c r="X118"/>
    </row>
    <row r="119" spans="1:24" ht="15" customHeight="1" x14ac:dyDescent="0.25">
      <c r="A119" s="612"/>
      <c r="B119" s="586"/>
      <c r="C119" s="615"/>
      <c r="D119" s="269" t="s">
        <v>215</v>
      </c>
      <c r="E119" s="311" t="s">
        <v>408</v>
      </c>
      <c r="F119" s="368"/>
      <c r="G119" s="343">
        <v>0</v>
      </c>
      <c r="H119" s="280" t="s">
        <v>276</v>
      </c>
      <c r="I119" s="289" t="s">
        <v>398</v>
      </c>
      <c r="J119" s="290"/>
      <c r="K119" s="40"/>
      <c r="L119" s="40"/>
      <c r="M119" s="40"/>
      <c r="N119" s="40"/>
      <c r="O119" s="351"/>
      <c r="P119" s="267"/>
      <c r="Q119" s="40"/>
      <c r="R119" s="40"/>
      <c r="S119" s="40"/>
      <c r="T119" s="40"/>
      <c r="U119" s="40"/>
      <c r="V119" s="40"/>
      <c r="W119"/>
      <c r="X119"/>
    </row>
    <row r="120" spans="1:24" ht="15" customHeight="1" thickBot="1" x14ac:dyDescent="0.3">
      <c r="A120" s="612"/>
      <c r="B120" s="586"/>
      <c r="C120" s="616"/>
      <c r="D120" s="283" t="s">
        <v>215</v>
      </c>
      <c r="E120" s="308" t="s">
        <v>409</v>
      </c>
      <c r="F120" s="369"/>
      <c r="G120" s="357">
        <v>0</v>
      </c>
      <c r="H120" s="292" t="s">
        <v>237</v>
      </c>
      <c r="I120" s="285" t="s">
        <v>410</v>
      </c>
      <c r="J120" s="286"/>
      <c r="K120" s="40"/>
      <c r="L120" s="40"/>
      <c r="M120" s="40"/>
      <c r="N120" s="40"/>
      <c r="O120" s="351"/>
      <c r="P120" s="267"/>
      <c r="Q120" s="40"/>
      <c r="R120" s="40"/>
      <c r="S120" s="40"/>
      <c r="T120" s="40"/>
      <c r="U120" s="40"/>
      <c r="V120" s="40"/>
      <c r="W120"/>
      <c r="X120"/>
    </row>
    <row r="121" spans="1:24" ht="15" customHeight="1" x14ac:dyDescent="0.25">
      <c r="A121" s="612"/>
      <c r="B121" s="587"/>
      <c r="C121" s="555" t="s">
        <v>411</v>
      </c>
      <c r="D121" s="105" t="s">
        <v>215</v>
      </c>
      <c r="E121" s="106" t="s">
        <v>412</v>
      </c>
      <c r="F121" s="85"/>
      <c r="G121" s="85">
        <v>0</v>
      </c>
      <c r="H121" s="56"/>
      <c r="I121" s="86" t="s">
        <v>413</v>
      </c>
      <c r="J121" s="57" t="s">
        <v>414</v>
      </c>
      <c r="K121" s="40"/>
      <c r="L121" s="40"/>
      <c r="M121" s="40"/>
      <c r="N121" s="40"/>
      <c r="O121" s="351"/>
      <c r="P121" s="267"/>
      <c r="Q121" s="40"/>
      <c r="R121" s="40"/>
      <c r="S121" s="40"/>
      <c r="T121" s="40"/>
      <c r="U121" s="40"/>
      <c r="V121" s="40"/>
      <c r="W121"/>
      <c r="X121"/>
    </row>
    <row r="122" spans="1:24" ht="15" customHeight="1" x14ac:dyDescent="0.25">
      <c r="A122" s="612"/>
      <c r="B122" s="587"/>
      <c r="C122" s="555"/>
      <c r="D122" s="269" t="s">
        <v>215</v>
      </c>
      <c r="E122" s="311" t="s">
        <v>415</v>
      </c>
      <c r="F122" s="370">
        <f>F121*7</f>
        <v>0</v>
      </c>
      <c r="G122" s="367">
        <v>0</v>
      </c>
      <c r="H122" s="289"/>
      <c r="I122" s="361" t="s">
        <v>416</v>
      </c>
      <c r="J122" s="290"/>
      <c r="K122" s="40"/>
      <c r="L122" s="40"/>
      <c r="M122" s="40"/>
      <c r="N122" s="40"/>
      <c r="O122" s="351"/>
      <c r="P122" s="267"/>
      <c r="Q122" s="40"/>
      <c r="R122" s="40"/>
      <c r="S122" s="40"/>
      <c r="T122" s="40"/>
      <c r="U122" s="40"/>
      <c r="V122" s="40"/>
      <c r="W122"/>
      <c r="X122"/>
    </row>
    <row r="123" spans="1:24" ht="15" customHeight="1" thickBot="1" x14ac:dyDescent="0.3">
      <c r="A123" s="612"/>
      <c r="B123" s="587"/>
      <c r="C123" s="581"/>
      <c r="D123" s="283" t="s">
        <v>215</v>
      </c>
      <c r="E123" s="308" t="s">
        <v>417</v>
      </c>
      <c r="F123" s="371">
        <f>F121</f>
        <v>0</v>
      </c>
      <c r="G123" s="372">
        <v>0</v>
      </c>
      <c r="H123" s="285"/>
      <c r="I123" s="373" t="s">
        <v>418</v>
      </c>
      <c r="J123" s="286"/>
      <c r="K123" s="40"/>
      <c r="L123" s="40"/>
      <c r="M123" s="40"/>
      <c r="N123" s="40"/>
      <c r="O123" s="351"/>
      <c r="P123" s="267"/>
      <c r="Q123" s="40"/>
      <c r="R123" s="40"/>
      <c r="S123" s="40"/>
      <c r="T123" s="40"/>
      <c r="U123" s="40"/>
      <c r="V123" s="40"/>
      <c r="W123"/>
      <c r="X123"/>
    </row>
    <row r="124" spans="1:24" ht="15" customHeight="1" x14ac:dyDescent="0.25">
      <c r="A124" s="612"/>
      <c r="B124" s="587"/>
      <c r="C124" s="547" t="s">
        <v>419</v>
      </c>
      <c r="D124" s="108" t="s">
        <v>215</v>
      </c>
      <c r="E124" s="315" t="s">
        <v>377</v>
      </c>
      <c r="F124" s="342"/>
      <c r="G124" s="342">
        <v>0</v>
      </c>
      <c r="H124" s="287" t="s">
        <v>276</v>
      </c>
      <c r="I124" s="109" t="s">
        <v>420</v>
      </c>
      <c r="J124" s="288" t="s">
        <v>414</v>
      </c>
      <c r="K124" s="40"/>
      <c r="L124" s="40"/>
      <c r="M124" s="40"/>
      <c r="N124" s="40"/>
      <c r="O124" s="351"/>
      <c r="P124" s="267"/>
      <c r="Q124" s="40"/>
      <c r="R124" s="40"/>
      <c r="S124" s="40"/>
      <c r="T124" s="40"/>
      <c r="U124" s="40"/>
      <c r="V124" s="40"/>
      <c r="W124"/>
      <c r="X124"/>
    </row>
    <row r="125" spans="1:24" ht="15" customHeight="1" x14ac:dyDescent="0.25">
      <c r="A125" s="612"/>
      <c r="B125" s="587"/>
      <c r="C125" s="555"/>
      <c r="D125" s="110" t="s">
        <v>421</v>
      </c>
      <c r="E125" s="295" t="s">
        <v>422</v>
      </c>
      <c r="F125" s="85"/>
      <c r="G125" s="85">
        <v>0</v>
      </c>
      <c r="H125" s="56"/>
      <c r="I125" s="280" t="s">
        <v>423</v>
      </c>
      <c r="J125" s="57" t="s">
        <v>424</v>
      </c>
      <c r="K125" s="40"/>
      <c r="L125" s="40"/>
      <c r="M125" s="40"/>
      <c r="N125" s="40"/>
      <c r="O125" s="351"/>
      <c r="P125" s="267"/>
      <c r="Q125" s="40"/>
      <c r="R125" s="40"/>
      <c r="S125" s="40"/>
      <c r="T125" s="40"/>
      <c r="U125" s="40"/>
      <c r="V125" s="40"/>
      <c r="W125"/>
      <c r="X125"/>
    </row>
    <row r="126" spans="1:24" ht="15" customHeight="1" x14ac:dyDescent="0.25">
      <c r="A126" s="612"/>
      <c r="B126" s="587"/>
      <c r="C126" s="555"/>
      <c r="D126" s="269" t="s">
        <v>215</v>
      </c>
      <c r="E126" s="280" t="s">
        <v>284</v>
      </c>
      <c r="F126" s="344">
        <v>1</v>
      </c>
      <c r="G126" s="344">
        <v>0</v>
      </c>
      <c r="H126" s="289" t="s">
        <v>276</v>
      </c>
      <c r="I126" s="289" t="s">
        <v>425</v>
      </c>
      <c r="J126" s="57"/>
      <c r="K126" s="40"/>
      <c r="L126" s="40"/>
      <c r="M126" s="40"/>
      <c r="N126" s="40"/>
      <c r="O126" s="351"/>
      <c r="P126" s="267"/>
      <c r="Q126" s="40"/>
      <c r="R126" s="40"/>
      <c r="S126" s="40"/>
      <c r="T126" s="40"/>
      <c r="U126" s="40"/>
      <c r="V126" s="40"/>
      <c r="W126"/>
      <c r="X126"/>
    </row>
    <row r="127" spans="1:24" ht="75" x14ac:dyDescent="0.25">
      <c r="A127" s="612"/>
      <c r="B127" s="587"/>
      <c r="C127" s="555"/>
      <c r="D127" s="374" t="s">
        <v>205</v>
      </c>
      <c r="E127" s="311" t="s">
        <v>426</v>
      </c>
      <c r="F127" s="375">
        <f>F124+F125/2</f>
        <v>0</v>
      </c>
      <c r="G127" s="360">
        <v>0</v>
      </c>
      <c r="H127" s="289" t="s">
        <v>276</v>
      </c>
      <c r="I127" s="361" t="s">
        <v>427</v>
      </c>
      <c r="J127" s="290" t="s">
        <v>428</v>
      </c>
      <c r="K127" s="40"/>
      <c r="O127" s="351"/>
      <c r="P127" s="267">
        <f t="shared" si="1"/>
        <v>0</v>
      </c>
      <c r="W127"/>
      <c r="X127"/>
    </row>
    <row r="128" spans="1:24" ht="17.25" customHeight="1" x14ac:dyDescent="0.25">
      <c r="A128" s="612"/>
      <c r="B128" s="587"/>
      <c r="C128" s="555"/>
      <c r="D128" s="269" t="s">
        <v>215</v>
      </c>
      <c r="E128" s="311" t="s">
        <v>379</v>
      </c>
      <c r="F128" s="359">
        <f>F124*2</f>
        <v>0</v>
      </c>
      <c r="G128" s="360">
        <v>0</v>
      </c>
      <c r="H128" s="289" t="s">
        <v>276</v>
      </c>
      <c r="I128" s="376" t="s">
        <v>429</v>
      </c>
      <c r="J128" s="290" t="s">
        <v>430</v>
      </c>
      <c r="K128" s="40"/>
      <c r="O128" s="351"/>
      <c r="P128" s="267">
        <f t="shared" si="1"/>
        <v>0</v>
      </c>
      <c r="W128"/>
      <c r="X128"/>
    </row>
    <row r="129" spans="1:24" ht="18.75" customHeight="1" x14ac:dyDescent="0.25">
      <c r="A129" s="612"/>
      <c r="B129" s="587"/>
      <c r="C129" s="555"/>
      <c r="D129" s="269" t="s">
        <v>215</v>
      </c>
      <c r="E129" s="311" t="s">
        <v>379</v>
      </c>
      <c r="F129" s="359">
        <f>F124*6</f>
        <v>0</v>
      </c>
      <c r="G129" s="360">
        <v>0</v>
      </c>
      <c r="H129" s="289" t="s">
        <v>276</v>
      </c>
      <c r="I129" s="361" t="s">
        <v>431</v>
      </c>
      <c r="J129" s="290" t="s">
        <v>432</v>
      </c>
      <c r="K129" s="40"/>
      <c r="O129" s="351"/>
      <c r="P129" s="267">
        <f t="shared" si="1"/>
        <v>0</v>
      </c>
      <c r="W129"/>
      <c r="X129"/>
    </row>
    <row r="130" spans="1:24" ht="15.75" customHeight="1" thickBot="1" x14ac:dyDescent="0.3">
      <c r="A130" s="612"/>
      <c r="B130" s="587"/>
      <c r="C130" s="581"/>
      <c r="D130" s="283" t="s">
        <v>215</v>
      </c>
      <c r="E130" s="308" t="s">
        <v>380</v>
      </c>
      <c r="F130" s="353">
        <f>F124</f>
        <v>0</v>
      </c>
      <c r="G130" s="377">
        <v>0</v>
      </c>
      <c r="H130" s="285" t="s">
        <v>276</v>
      </c>
      <c r="I130" s="292" t="s">
        <v>418</v>
      </c>
      <c r="J130" s="286" t="s">
        <v>433</v>
      </c>
      <c r="K130" s="40"/>
      <c r="O130" s="351"/>
      <c r="P130" s="267">
        <f t="shared" si="1"/>
        <v>0</v>
      </c>
      <c r="W130"/>
      <c r="X130"/>
    </row>
    <row r="131" spans="1:24" ht="15" customHeight="1" x14ac:dyDescent="0.25">
      <c r="A131" s="612"/>
      <c r="B131" s="587"/>
      <c r="C131" s="524" t="s">
        <v>434</v>
      </c>
      <c r="D131" s="108" t="s">
        <v>215</v>
      </c>
      <c r="E131" s="111" t="s">
        <v>435</v>
      </c>
      <c r="F131" s="112">
        <v>3</v>
      </c>
      <c r="G131" s="112">
        <v>0</v>
      </c>
      <c r="H131" s="109" t="s">
        <v>276</v>
      </c>
      <c r="I131" s="109" t="s">
        <v>436</v>
      </c>
      <c r="J131" s="378"/>
      <c r="K131" s="40"/>
      <c r="O131" s="351"/>
      <c r="P131" s="267"/>
      <c r="W131"/>
      <c r="X131"/>
    </row>
    <row r="132" spans="1:24" ht="15" customHeight="1" x14ac:dyDescent="0.25">
      <c r="A132" s="612"/>
      <c r="B132" s="587"/>
      <c r="C132" s="525"/>
      <c r="D132" s="269" t="s">
        <v>215</v>
      </c>
      <c r="E132" s="295" t="s">
        <v>437</v>
      </c>
      <c r="F132" s="379">
        <v>2</v>
      </c>
      <c r="G132" s="379">
        <v>0</v>
      </c>
      <c r="H132" s="280" t="s">
        <v>276</v>
      </c>
      <c r="I132" s="280" t="s">
        <v>438</v>
      </c>
      <c r="J132" s="113"/>
      <c r="K132" s="40"/>
      <c r="O132" s="351"/>
      <c r="P132" s="267"/>
      <c r="W132"/>
      <c r="X132"/>
    </row>
    <row r="133" spans="1:24" ht="15" customHeight="1" x14ac:dyDescent="0.25">
      <c r="A133" s="612"/>
      <c r="B133" s="587"/>
      <c r="C133" s="525"/>
      <c r="D133" s="334" t="s">
        <v>421</v>
      </c>
      <c r="E133" s="295" t="s">
        <v>439</v>
      </c>
      <c r="F133" s="343"/>
      <c r="G133" s="343">
        <v>0</v>
      </c>
      <c r="H133" s="280" t="s">
        <v>276</v>
      </c>
      <c r="I133" s="280" t="s">
        <v>387</v>
      </c>
      <c r="J133" s="113"/>
      <c r="K133" s="40"/>
      <c r="O133" s="351"/>
      <c r="P133" s="267"/>
      <c r="W133"/>
      <c r="X133"/>
    </row>
    <row r="134" spans="1:24" ht="15" customHeight="1" x14ac:dyDescent="0.25">
      <c r="A134" s="612"/>
      <c r="B134" s="587"/>
      <c r="C134" s="525"/>
      <c r="D134" s="110" t="s">
        <v>421</v>
      </c>
      <c r="E134" s="295" t="s">
        <v>440</v>
      </c>
      <c r="F134" s="343"/>
      <c r="G134" s="343">
        <v>0</v>
      </c>
      <c r="H134" s="86" t="s">
        <v>276</v>
      </c>
      <c r="I134" s="86" t="s">
        <v>441</v>
      </c>
      <c r="J134" s="113"/>
      <c r="K134" s="40"/>
      <c r="O134" s="351"/>
      <c r="P134" s="267"/>
      <c r="W134"/>
      <c r="X134"/>
    </row>
    <row r="135" spans="1:24" ht="15" customHeight="1" x14ac:dyDescent="0.25">
      <c r="A135" s="612"/>
      <c r="B135" s="587"/>
      <c r="C135" s="525"/>
      <c r="D135" s="110" t="s">
        <v>421</v>
      </c>
      <c r="E135" s="295" t="s">
        <v>442</v>
      </c>
      <c r="F135" s="343"/>
      <c r="G135" s="343">
        <v>0</v>
      </c>
      <c r="H135" s="86" t="s">
        <v>276</v>
      </c>
      <c r="I135" s="86" t="s">
        <v>441</v>
      </c>
      <c r="J135" s="113"/>
      <c r="K135" s="40"/>
      <c r="O135" s="351"/>
      <c r="P135" s="267"/>
      <c r="W135"/>
      <c r="X135"/>
    </row>
    <row r="136" spans="1:24" ht="15" customHeight="1" thickBot="1" x14ac:dyDescent="0.3">
      <c r="A136" s="612"/>
      <c r="B136" s="587"/>
      <c r="C136" s="525"/>
      <c r="D136" s="110" t="s">
        <v>421</v>
      </c>
      <c r="E136" s="295" t="s">
        <v>443</v>
      </c>
      <c r="F136" s="343"/>
      <c r="G136" s="343">
        <v>0</v>
      </c>
      <c r="H136" s="280" t="s">
        <v>276</v>
      </c>
      <c r="I136" s="280" t="s">
        <v>444</v>
      </c>
      <c r="J136" s="316"/>
      <c r="K136" s="40"/>
      <c r="O136" s="351"/>
      <c r="P136" s="267">
        <f t="shared" si="1"/>
        <v>0</v>
      </c>
      <c r="W136"/>
      <c r="X136"/>
    </row>
    <row r="137" spans="1:24" ht="13.5" customHeight="1" x14ac:dyDescent="0.25">
      <c r="A137" s="612"/>
      <c r="B137" s="587"/>
      <c r="C137" s="544" t="s">
        <v>445</v>
      </c>
      <c r="D137" s="276" t="s">
        <v>215</v>
      </c>
      <c r="E137" s="287" t="s">
        <v>446</v>
      </c>
      <c r="F137" s="342"/>
      <c r="G137" s="342">
        <v>0</v>
      </c>
      <c r="H137" s="287" t="s">
        <v>276</v>
      </c>
      <c r="I137" s="287" t="s">
        <v>447</v>
      </c>
      <c r="J137" s="288"/>
      <c r="K137" s="601" t="s">
        <v>448</v>
      </c>
      <c r="L137" s="602"/>
      <c r="M137" s="603"/>
      <c r="O137" s="351"/>
      <c r="P137" s="267">
        <f t="shared" si="1"/>
        <v>0</v>
      </c>
      <c r="W137"/>
      <c r="X137"/>
    </row>
    <row r="138" spans="1:24" ht="13.5" customHeight="1" x14ac:dyDescent="0.25">
      <c r="A138" s="612"/>
      <c r="B138" s="587"/>
      <c r="C138" s="545"/>
      <c r="D138" s="269" t="s">
        <v>215</v>
      </c>
      <c r="E138" s="114" t="s">
        <v>449</v>
      </c>
      <c r="F138" s="115">
        <f>F137*4</f>
        <v>0</v>
      </c>
      <c r="G138" s="380">
        <v>0</v>
      </c>
      <c r="H138" s="114" t="s">
        <v>171</v>
      </c>
      <c r="I138" s="114" t="s">
        <v>450</v>
      </c>
      <c r="J138" s="290"/>
      <c r="K138" s="604"/>
      <c r="L138" s="605"/>
      <c r="M138" s="606"/>
      <c r="O138" s="351"/>
      <c r="P138" s="267"/>
      <c r="W138"/>
      <c r="X138"/>
    </row>
    <row r="139" spans="1:24" ht="13.5" customHeight="1" x14ac:dyDescent="0.25">
      <c r="A139" s="612"/>
      <c r="B139" s="587"/>
      <c r="C139" s="545"/>
      <c r="D139" s="269" t="s">
        <v>215</v>
      </c>
      <c r="E139" s="114" t="s">
        <v>451</v>
      </c>
      <c r="F139" s="367">
        <f>F138*2+F143</f>
        <v>0</v>
      </c>
      <c r="G139" s="367">
        <v>0</v>
      </c>
      <c r="H139" s="114" t="s">
        <v>171</v>
      </c>
      <c r="I139" s="114" t="s">
        <v>450</v>
      </c>
      <c r="J139" s="116"/>
      <c r="K139" s="604"/>
      <c r="L139" s="605"/>
      <c r="M139" s="606"/>
      <c r="O139" s="351"/>
      <c r="P139" s="267"/>
      <c r="W139"/>
      <c r="X139"/>
    </row>
    <row r="140" spans="1:24" ht="13.5" customHeight="1" x14ac:dyDescent="0.25">
      <c r="A140" s="612"/>
      <c r="B140" s="587"/>
      <c r="C140" s="545"/>
      <c r="D140" s="269" t="s">
        <v>215</v>
      </c>
      <c r="E140" s="114" t="s">
        <v>452</v>
      </c>
      <c r="F140" s="367">
        <f>F138</f>
        <v>0</v>
      </c>
      <c r="G140" s="367">
        <v>0</v>
      </c>
      <c r="H140" s="114" t="s">
        <v>171</v>
      </c>
      <c r="I140" s="114" t="s">
        <v>450</v>
      </c>
      <c r="J140" s="116"/>
      <c r="K140" s="604"/>
      <c r="L140" s="605"/>
      <c r="M140" s="606"/>
      <c r="O140" s="351"/>
      <c r="P140" s="267"/>
      <c r="W140"/>
      <c r="X140"/>
    </row>
    <row r="141" spans="1:24" ht="13.5" customHeight="1" x14ac:dyDescent="0.25">
      <c r="A141" s="612"/>
      <c r="B141" s="587"/>
      <c r="C141" s="545"/>
      <c r="D141" s="269" t="s">
        <v>215</v>
      </c>
      <c r="E141" s="114" t="s">
        <v>453</v>
      </c>
      <c r="F141" s="379">
        <v>1</v>
      </c>
      <c r="G141" s="379">
        <v>0</v>
      </c>
      <c r="H141" s="114" t="s">
        <v>171</v>
      </c>
      <c r="I141" s="114" t="s">
        <v>450</v>
      </c>
      <c r="J141" s="316"/>
      <c r="K141" s="604"/>
      <c r="L141" s="605"/>
      <c r="M141" s="606"/>
      <c r="O141" s="351"/>
      <c r="P141" s="267">
        <f t="shared" si="1"/>
        <v>0</v>
      </c>
      <c r="W141"/>
      <c r="X141"/>
    </row>
    <row r="142" spans="1:24" ht="13.5" customHeight="1" x14ac:dyDescent="0.25">
      <c r="A142" s="612"/>
      <c r="B142" s="587"/>
      <c r="C142" s="545"/>
      <c r="D142" s="269" t="s">
        <v>215</v>
      </c>
      <c r="E142" s="280" t="s">
        <v>454</v>
      </c>
      <c r="F142" s="344">
        <v>1</v>
      </c>
      <c r="G142" s="344">
        <v>0</v>
      </c>
      <c r="H142" s="289" t="s">
        <v>276</v>
      </c>
      <c r="I142" s="280" t="s">
        <v>455</v>
      </c>
      <c r="J142" s="290"/>
      <c r="K142" s="604"/>
      <c r="L142" s="605"/>
      <c r="M142" s="606"/>
      <c r="O142" s="351"/>
      <c r="P142" s="267">
        <f t="shared" si="1"/>
        <v>0</v>
      </c>
      <c r="W142"/>
      <c r="X142"/>
    </row>
    <row r="143" spans="1:24" ht="13.5" customHeight="1" thickBot="1" x14ac:dyDescent="0.3">
      <c r="A143" s="612"/>
      <c r="B143" s="587"/>
      <c r="C143" s="546"/>
      <c r="D143" s="269" t="s">
        <v>215</v>
      </c>
      <c r="E143" s="280" t="s">
        <v>443</v>
      </c>
      <c r="F143" s="360">
        <f>F137*4</f>
        <v>0</v>
      </c>
      <c r="G143" s="360">
        <v>0</v>
      </c>
      <c r="H143" s="289" t="s">
        <v>276</v>
      </c>
      <c r="I143" s="289" t="s">
        <v>450</v>
      </c>
      <c r="J143" s="286" t="s">
        <v>456</v>
      </c>
      <c r="K143" s="604"/>
      <c r="L143" s="605"/>
      <c r="M143" s="606"/>
      <c r="O143" s="351"/>
      <c r="P143" s="267">
        <f t="shared" si="1"/>
        <v>0</v>
      </c>
      <c r="W143"/>
      <c r="X143"/>
    </row>
    <row r="144" spans="1:24" ht="30.75" customHeight="1" x14ac:dyDescent="0.25">
      <c r="A144" s="612"/>
      <c r="B144" s="587"/>
      <c r="C144" s="544" t="s">
        <v>457</v>
      </c>
      <c r="D144" s="108" t="s">
        <v>215</v>
      </c>
      <c r="E144" s="109" t="s">
        <v>458</v>
      </c>
      <c r="F144" s="117"/>
      <c r="G144" s="117">
        <v>0</v>
      </c>
      <c r="H144" s="101" t="s">
        <v>276</v>
      </c>
      <c r="I144" s="118" t="s">
        <v>459</v>
      </c>
      <c r="J144" s="119"/>
      <c r="K144" s="604"/>
      <c r="L144" s="605"/>
      <c r="M144" s="606"/>
      <c r="O144" s="351"/>
      <c r="P144" s="267"/>
      <c r="W144"/>
      <c r="X144"/>
    </row>
    <row r="145" spans="1:24" ht="30" customHeight="1" x14ac:dyDescent="0.25">
      <c r="A145" s="612"/>
      <c r="B145" s="587"/>
      <c r="C145" s="545"/>
      <c r="D145" s="269" t="s">
        <v>215</v>
      </c>
      <c r="E145" s="280" t="s">
        <v>460</v>
      </c>
      <c r="F145" s="343"/>
      <c r="G145" s="343">
        <v>0</v>
      </c>
      <c r="H145" s="289"/>
      <c r="I145" s="361"/>
      <c r="J145" s="290" t="s">
        <v>461</v>
      </c>
      <c r="K145" s="604"/>
      <c r="L145" s="605"/>
      <c r="M145" s="606"/>
      <c r="O145" s="351"/>
      <c r="P145" s="267"/>
      <c r="W145"/>
      <c r="X145"/>
    </row>
    <row r="146" spans="1:24" ht="30" customHeight="1" thickBot="1" x14ac:dyDescent="0.3">
      <c r="A146" s="612"/>
      <c r="B146" s="587"/>
      <c r="C146" s="545"/>
      <c r="D146" s="110" t="s">
        <v>421</v>
      </c>
      <c r="E146" s="89" t="s">
        <v>443</v>
      </c>
      <c r="F146" s="120">
        <f>F144*8</f>
        <v>0</v>
      </c>
      <c r="G146" s="120">
        <v>0</v>
      </c>
      <c r="H146" s="80" t="s">
        <v>276</v>
      </c>
      <c r="I146" s="80" t="s">
        <v>462</v>
      </c>
      <c r="J146" s="121"/>
      <c r="K146" s="604"/>
      <c r="L146" s="605"/>
      <c r="M146" s="606"/>
      <c r="O146" s="351"/>
      <c r="P146" s="267"/>
      <c r="W146"/>
      <c r="X146"/>
    </row>
    <row r="147" spans="1:24" ht="13.5" customHeight="1" x14ac:dyDescent="0.25">
      <c r="A147" s="612"/>
      <c r="B147" s="587"/>
      <c r="C147" s="544" t="s">
        <v>463</v>
      </c>
      <c r="D147" s="276" t="s">
        <v>215</v>
      </c>
      <c r="E147" s="287" t="s">
        <v>446</v>
      </c>
      <c r="F147" s="342"/>
      <c r="G147" s="342">
        <v>0</v>
      </c>
      <c r="H147" s="287" t="s">
        <v>276</v>
      </c>
      <c r="I147" s="287" t="s">
        <v>464</v>
      </c>
      <c r="J147" s="288"/>
      <c r="K147" s="604"/>
      <c r="L147" s="605"/>
      <c r="M147" s="606"/>
      <c r="O147" s="351"/>
      <c r="P147" s="267"/>
      <c r="W147"/>
      <c r="X147"/>
    </row>
    <row r="148" spans="1:24" ht="13.5" customHeight="1" x14ac:dyDescent="0.25">
      <c r="A148" s="612"/>
      <c r="B148" s="587"/>
      <c r="C148" s="545"/>
      <c r="D148" s="269" t="s">
        <v>215</v>
      </c>
      <c r="E148" s="280" t="s">
        <v>454</v>
      </c>
      <c r="F148" s="344">
        <v>1</v>
      </c>
      <c r="G148" s="344">
        <v>0</v>
      </c>
      <c r="H148" s="289" t="s">
        <v>276</v>
      </c>
      <c r="I148" s="280" t="s">
        <v>455</v>
      </c>
      <c r="J148" s="290"/>
      <c r="K148" s="604"/>
      <c r="L148" s="605"/>
      <c r="M148" s="606"/>
      <c r="O148" s="351"/>
      <c r="P148" s="267"/>
      <c r="W148"/>
      <c r="X148"/>
    </row>
    <row r="149" spans="1:24" ht="30" x14ac:dyDescent="0.25">
      <c r="A149" s="612"/>
      <c r="B149" s="587"/>
      <c r="C149" s="545"/>
      <c r="D149" s="269" t="s">
        <v>215</v>
      </c>
      <c r="E149" s="381" t="s">
        <v>465</v>
      </c>
      <c r="F149" s="344">
        <v>1</v>
      </c>
      <c r="G149" s="344">
        <v>0</v>
      </c>
      <c r="H149" s="289" t="s">
        <v>276</v>
      </c>
      <c r="I149" s="289"/>
      <c r="J149" s="382" t="s">
        <v>466</v>
      </c>
      <c r="K149" s="604"/>
      <c r="L149" s="605"/>
      <c r="M149" s="606"/>
      <c r="O149" s="351"/>
      <c r="P149" s="267">
        <f t="shared" si="1"/>
        <v>0</v>
      </c>
      <c r="W149"/>
      <c r="X149"/>
    </row>
    <row r="150" spans="1:24" ht="13.5" customHeight="1" x14ac:dyDescent="0.25">
      <c r="A150" s="612"/>
      <c r="B150" s="587"/>
      <c r="C150" s="545"/>
      <c r="D150" s="269" t="s">
        <v>215</v>
      </c>
      <c r="E150" s="280" t="s">
        <v>467</v>
      </c>
      <c r="F150" s="360">
        <f>F147*4</f>
        <v>0</v>
      </c>
      <c r="G150" s="360">
        <v>0</v>
      </c>
      <c r="H150" s="289" t="s">
        <v>276</v>
      </c>
      <c r="I150" s="289" t="s">
        <v>464</v>
      </c>
      <c r="J150" s="290"/>
      <c r="K150" s="604"/>
      <c r="L150" s="605"/>
      <c r="M150" s="606"/>
      <c r="O150" s="351"/>
      <c r="P150" s="267"/>
      <c r="W150"/>
      <c r="X150"/>
    </row>
    <row r="151" spans="1:24" ht="13.5" customHeight="1" thickBot="1" x14ac:dyDescent="0.3">
      <c r="A151" s="612"/>
      <c r="B151" s="587"/>
      <c r="C151" s="546"/>
      <c r="D151" s="283" t="s">
        <v>468</v>
      </c>
      <c r="E151" s="292" t="s">
        <v>469</v>
      </c>
      <c r="F151" s="377">
        <f>F147*8</f>
        <v>0</v>
      </c>
      <c r="G151" s="377">
        <v>0</v>
      </c>
      <c r="H151" s="285" t="s">
        <v>276</v>
      </c>
      <c r="I151" s="285" t="s">
        <v>464</v>
      </c>
      <c r="J151" s="286"/>
      <c r="K151" s="607"/>
      <c r="L151" s="608"/>
      <c r="M151" s="609"/>
      <c r="O151" s="351"/>
      <c r="P151" s="267">
        <f t="shared" si="1"/>
        <v>0</v>
      </c>
      <c r="W151"/>
      <c r="X151"/>
    </row>
    <row r="152" spans="1:24" ht="16.5" customHeight="1" x14ac:dyDescent="0.25">
      <c r="A152" s="612"/>
      <c r="B152" s="587"/>
      <c r="C152" s="545" t="s">
        <v>470</v>
      </c>
      <c r="D152" s="105" t="s">
        <v>215</v>
      </c>
      <c r="E152" s="122" t="s">
        <v>471</v>
      </c>
      <c r="F152" s="85"/>
      <c r="G152" s="85">
        <v>0</v>
      </c>
      <c r="H152" s="80" t="s">
        <v>276</v>
      </c>
      <c r="I152" s="56" t="s">
        <v>472</v>
      </c>
      <c r="J152" s="610" t="s">
        <v>473</v>
      </c>
      <c r="K152" s="261"/>
      <c r="L152" s="261"/>
      <c r="M152" s="261"/>
      <c r="O152" s="351"/>
      <c r="P152" s="267"/>
      <c r="W152"/>
      <c r="X152"/>
    </row>
    <row r="153" spans="1:24" ht="18.75" customHeight="1" thickBot="1" x14ac:dyDescent="0.3">
      <c r="A153" s="612"/>
      <c r="B153" s="587"/>
      <c r="C153" s="546"/>
      <c r="D153" s="283" t="s">
        <v>215</v>
      </c>
      <c r="E153" s="331" t="s">
        <v>474</v>
      </c>
      <c r="F153" s="357"/>
      <c r="G153" s="357">
        <v>0</v>
      </c>
      <c r="H153" s="285" t="s">
        <v>276</v>
      </c>
      <c r="I153" s="285" t="s">
        <v>472</v>
      </c>
      <c r="J153" s="611"/>
      <c r="K153" s="261"/>
      <c r="L153" s="261"/>
      <c r="M153" s="261"/>
      <c r="O153" s="351"/>
      <c r="P153" s="267"/>
      <c r="W153"/>
      <c r="X153"/>
    </row>
    <row r="154" spans="1:24" ht="105" x14ac:dyDescent="0.25">
      <c r="A154" s="612"/>
      <c r="B154" s="587"/>
      <c r="C154" s="544" t="s">
        <v>475</v>
      </c>
      <c r="D154" s="383" t="s">
        <v>211</v>
      </c>
      <c r="E154" s="282" t="s">
        <v>476</v>
      </c>
      <c r="F154" s="342"/>
      <c r="G154" s="342">
        <v>0</v>
      </c>
      <c r="H154" s="287" t="s">
        <v>477</v>
      </c>
      <c r="I154" s="384" t="s">
        <v>478</v>
      </c>
      <c r="J154" s="385"/>
      <c r="K154" s="40"/>
      <c r="L154" s="264">
        <v>1</v>
      </c>
      <c r="O154" s="351"/>
      <c r="P154" s="267">
        <f t="shared" si="1"/>
        <v>0</v>
      </c>
      <c r="W154"/>
      <c r="X154"/>
    </row>
    <row r="155" spans="1:24" ht="105" x14ac:dyDescent="0.25">
      <c r="A155" s="612"/>
      <c r="B155" s="587"/>
      <c r="C155" s="545"/>
      <c r="D155" s="267" t="s">
        <v>211</v>
      </c>
      <c r="E155" s="295" t="s">
        <v>479</v>
      </c>
      <c r="F155" s="343"/>
      <c r="G155" s="343">
        <v>0</v>
      </c>
      <c r="H155" s="289" t="s">
        <v>477</v>
      </c>
      <c r="I155" s="177" t="s">
        <v>478</v>
      </c>
      <c r="J155" s="386"/>
      <c r="K155" s="40"/>
      <c r="L155" s="264">
        <v>1</v>
      </c>
      <c r="O155" s="351"/>
      <c r="P155" s="267">
        <f t="shared" si="1"/>
        <v>0</v>
      </c>
      <c r="W155"/>
      <c r="X155"/>
    </row>
    <row r="156" spans="1:24" ht="60.75" thickBot="1" x14ac:dyDescent="0.3">
      <c r="A156" s="612"/>
      <c r="B156" s="587"/>
      <c r="C156" s="546"/>
      <c r="D156" s="123" t="s">
        <v>211</v>
      </c>
      <c r="E156" s="124" t="s">
        <v>480</v>
      </c>
      <c r="F156" s="125"/>
      <c r="G156" s="125">
        <v>0</v>
      </c>
      <c r="H156" s="126" t="s">
        <v>477</v>
      </c>
      <c r="I156" s="127" t="s">
        <v>481</v>
      </c>
      <c r="J156" s="128" t="s">
        <v>482</v>
      </c>
      <c r="K156" s="40"/>
      <c r="L156" s="264">
        <v>1</v>
      </c>
      <c r="O156" s="351"/>
      <c r="P156" s="267">
        <f t="shared" si="1"/>
        <v>0</v>
      </c>
      <c r="W156"/>
      <c r="X156"/>
    </row>
    <row r="157" spans="1:24" ht="15.75" customHeight="1" x14ac:dyDescent="0.25">
      <c r="A157" s="612"/>
      <c r="B157" s="587"/>
      <c r="C157" s="529" t="s">
        <v>483</v>
      </c>
      <c r="D157" s="129" t="s">
        <v>207</v>
      </c>
      <c r="E157" s="109" t="s">
        <v>484</v>
      </c>
      <c r="F157" s="117"/>
      <c r="G157" s="117">
        <v>0</v>
      </c>
      <c r="H157" s="101" t="s">
        <v>276</v>
      </c>
      <c r="I157" s="101" t="s">
        <v>485</v>
      </c>
      <c r="J157" s="119"/>
      <c r="K157" s="40"/>
      <c r="O157" s="351">
        <v>5.37</v>
      </c>
      <c r="P157" s="267">
        <f t="shared" si="1"/>
        <v>0</v>
      </c>
      <c r="W157"/>
      <c r="X157"/>
    </row>
    <row r="158" spans="1:24" ht="15.75" customHeight="1" x14ac:dyDescent="0.25">
      <c r="A158" s="612"/>
      <c r="B158" s="587"/>
      <c r="C158" s="530"/>
      <c r="D158" s="266" t="s">
        <v>207</v>
      </c>
      <c r="E158" s="280" t="s">
        <v>486</v>
      </c>
      <c r="F158" s="343"/>
      <c r="G158" s="343">
        <v>0</v>
      </c>
      <c r="H158" s="289" t="s">
        <v>276</v>
      </c>
      <c r="I158" s="289" t="s">
        <v>485</v>
      </c>
      <c r="J158" s="289"/>
      <c r="K158" s="40"/>
      <c r="O158" s="351"/>
      <c r="P158" s="267"/>
      <c r="W158"/>
      <c r="X158"/>
    </row>
    <row r="159" spans="1:24" ht="15.75" customHeight="1" thickBot="1" x14ac:dyDescent="0.3">
      <c r="A159" s="612"/>
      <c r="B159" s="587"/>
      <c r="C159" s="533"/>
      <c r="D159" s="104" t="s">
        <v>215</v>
      </c>
      <c r="E159" s="89" t="s">
        <v>339</v>
      </c>
      <c r="F159" s="96">
        <f>F157*20+F158*15</f>
        <v>0</v>
      </c>
      <c r="G159" s="96">
        <v>0</v>
      </c>
      <c r="H159" s="60" t="s">
        <v>276</v>
      </c>
      <c r="I159" s="60" t="s">
        <v>487</v>
      </c>
      <c r="J159" s="73" t="s">
        <v>488</v>
      </c>
      <c r="K159" s="40"/>
      <c r="O159" s="351"/>
      <c r="P159" s="267">
        <f t="shared" si="1"/>
        <v>0</v>
      </c>
      <c r="W159"/>
      <c r="X159"/>
    </row>
    <row r="160" spans="1:24" ht="15.75" customHeight="1" x14ac:dyDescent="0.25">
      <c r="A160" s="612"/>
      <c r="B160" s="587"/>
      <c r="C160" s="547" t="s">
        <v>489</v>
      </c>
      <c r="D160" s="281" t="s">
        <v>207</v>
      </c>
      <c r="E160" s="282" t="s">
        <v>348</v>
      </c>
      <c r="F160" s="342"/>
      <c r="G160" s="342">
        <v>0</v>
      </c>
      <c r="H160" s="287" t="s">
        <v>276</v>
      </c>
      <c r="I160" s="282" t="s">
        <v>490</v>
      </c>
      <c r="J160" s="288" t="s">
        <v>385</v>
      </c>
      <c r="K160" s="40"/>
      <c r="O160" s="351">
        <v>12.82</v>
      </c>
      <c r="P160" s="267">
        <f t="shared" si="1"/>
        <v>0</v>
      </c>
      <c r="W160"/>
      <c r="X160"/>
    </row>
    <row r="161" spans="1:24" ht="15.75" customHeight="1" x14ac:dyDescent="0.25">
      <c r="A161" s="612"/>
      <c r="B161" s="587"/>
      <c r="C161" s="533"/>
      <c r="D161" s="266" t="s">
        <v>207</v>
      </c>
      <c r="E161" s="98" t="s">
        <v>310</v>
      </c>
      <c r="F161" s="343"/>
      <c r="G161" s="343">
        <v>0</v>
      </c>
      <c r="H161" s="289" t="s">
        <v>171</v>
      </c>
      <c r="I161" s="280" t="s">
        <v>491</v>
      </c>
      <c r="J161" s="290" t="s">
        <v>385</v>
      </c>
      <c r="K161" s="40"/>
      <c r="O161" s="351">
        <v>13.49</v>
      </c>
      <c r="P161" s="267">
        <f t="shared" si="1"/>
        <v>0</v>
      </c>
      <c r="W161"/>
      <c r="X161"/>
    </row>
    <row r="162" spans="1:24" ht="15.75" customHeight="1" x14ac:dyDescent="0.25">
      <c r="A162" s="612"/>
      <c r="B162" s="587"/>
      <c r="C162" s="533"/>
      <c r="D162" s="266" t="s">
        <v>207</v>
      </c>
      <c r="E162" s="280" t="s">
        <v>312</v>
      </c>
      <c r="F162" s="343"/>
      <c r="G162" s="343">
        <v>0</v>
      </c>
      <c r="H162" s="289" t="s">
        <v>276</v>
      </c>
      <c r="I162" s="280" t="s">
        <v>491</v>
      </c>
      <c r="J162" s="290"/>
      <c r="K162" s="40"/>
      <c r="L162" s="40"/>
      <c r="M162" s="40"/>
      <c r="N162" s="40"/>
      <c r="O162" s="351"/>
      <c r="P162" s="267"/>
      <c r="Q162" s="40"/>
      <c r="R162" s="40"/>
      <c r="S162" s="40"/>
      <c r="T162" s="40"/>
      <c r="U162" s="40"/>
      <c r="V162" s="40"/>
      <c r="W162"/>
      <c r="X162"/>
    </row>
    <row r="163" spans="1:24" ht="15.75" customHeight="1" x14ac:dyDescent="0.25">
      <c r="A163" s="612"/>
      <c r="B163" s="587"/>
      <c r="C163" s="533"/>
      <c r="D163" s="266" t="s">
        <v>207</v>
      </c>
      <c r="E163" s="280" t="s">
        <v>492</v>
      </c>
      <c r="F163" s="343"/>
      <c r="G163" s="343">
        <v>0</v>
      </c>
      <c r="H163" s="280" t="s">
        <v>171</v>
      </c>
      <c r="I163" s="280" t="s">
        <v>491</v>
      </c>
      <c r="J163" s="316"/>
      <c r="K163" s="40"/>
      <c r="L163" s="40"/>
      <c r="M163" s="40"/>
      <c r="N163" s="40"/>
      <c r="O163" s="351"/>
      <c r="P163" s="267"/>
      <c r="Q163" s="40"/>
      <c r="R163" s="40"/>
      <c r="S163" s="40"/>
      <c r="T163" s="40"/>
      <c r="U163" s="40"/>
      <c r="V163" s="40"/>
      <c r="W163"/>
      <c r="X163"/>
    </row>
    <row r="164" spans="1:24" ht="15.75" customHeight="1" x14ac:dyDescent="0.25">
      <c r="A164" s="612"/>
      <c r="B164" s="587"/>
      <c r="C164" s="533"/>
      <c r="D164" s="266" t="s">
        <v>207</v>
      </c>
      <c r="E164" s="280" t="s">
        <v>493</v>
      </c>
      <c r="F164" s="343"/>
      <c r="G164" s="343">
        <v>0</v>
      </c>
      <c r="H164" s="280" t="s">
        <v>276</v>
      </c>
      <c r="I164" s="280" t="s">
        <v>491</v>
      </c>
      <c r="J164" s="387"/>
      <c r="K164" s="40"/>
      <c r="O164" s="351">
        <v>11.97</v>
      </c>
      <c r="P164" s="267">
        <f t="shared" ref="P164:P236" si="2">O164*F164</f>
        <v>0</v>
      </c>
      <c r="W164"/>
      <c r="X164"/>
    </row>
    <row r="165" spans="1:24" ht="15.75" customHeight="1" x14ac:dyDescent="0.25">
      <c r="A165" s="612"/>
      <c r="B165" s="587"/>
      <c r="C165" s="533"/>
      <c r="D165" s="110" t="s">
        <v>421</v>
      </c>
      <c r="E165" s="280" t="s">
        <v>494</v>
      </c>
      <c r="F165" s="348"/>
      <c r="G165" s="348">
        <v>0</v>
      </c>
      <c r="H165" s="56" t="s">
        <v>276</v>
      </c>
      <c r="I165" s="56" t="s">
        <v>495</v>
      </c>
      <c r="J165" s="387"/>
      <c r="K165" s="40"/>
      <c r="O165" s="351"/>
      <c r="P165" s="267"/>
      <c r="W165"/>
      <c r="X165"/>
    </row>
    <row r="166" spans="1:24" ht="18" customHeight="1" thickBot="1" x14ac:dyDescent="0.3">
      <c r="A166" s="612"/>
      <c r="B166" s="587"/>
      <c r="C166" s="532"/>
      <c r="D166" s="269" t="s">
        <v>215</v>
      </c>
      <c r="E166" s="295" t="s">
        <v>339</v>
      </c>
      <c r="F166" s="388">
        <f>(F169+F160+F164+F161+F163+F162)/0.6*12</f>
        <v>0</v>
      </c>
      <c r="G166" s="388">
        <v>0</v>
      </c>
      <c r="H166" s="280" t="s">
        <v>276</v>
      </c>
      <c r="I166" s="280" t="s">
        <v>496</v>
      </c>
      <c r="J166" s="316" t="s">
        <v>497</v>
      </c>
      <c r="K166" s="40"/>
      <c r="O166" s="351"/>
      <c r="P166" s="267">
        <f t="shared" si="2"/>
        <v>0</v>
      </c>
      <c r="W166"/>
      <c r="X166"/>
    </row>
    <row r="167" spans="1:24" ht="18" customHeight="1" x14ac:dyDescent="0.25">
      <c r="A167" s="612"/>
      <c r="B167" s="587"/>
      <c r="C167" s="617"/>
      <c r="D167" s="269" t="s">
        <v>215</v>
      </c>
      <c r="E167" s="280" t="s">
        <v>498</v>
      </c>
      <c r="F167" s="388">
        <f>F168*20</f>
        <v>0</v>
      </c>
      <c r="G167" s="388">
        <v>0</v>
      </c>
      <c r="H167" s="280" t="s">
        <v>276</v>
      </c>
      <c r="I167" s="280" t="s">
        <v>496</v>
      </c>
      <c r="J167" s="316"/>
      <c r="K167" s="40"/>
      <c r="L167" s="40"/>
      <c r="M167" s="40"/>
      <c r="N167" s="40"/>
      <c r="O167" s="351"/>
      <c r="P167" s="267"/>
      <c r="Q167" s="40"/>
      <c r="R167" s="40"/>
      <c r="S167" s="40"/>
      <c r="T167" s="40"/>
      <c r="U167" s="40"/>
      <c r="V167" s="40"/>
      <c r="W167"/>
      <c r="X167"/>
    </row>
    <row r="168" spans="1:24" ht="15.75" customHeight="1" x14ac:dyDescent="0.25">
      <c r="A168" s="612"/>
      <c r="B168" s="587"/>
      <c r="C168" s="533"/>
      <c r="D168" s="266" t="s">
        <v>207</v>
      </c>
      <c r="E168" s="86" t="s">
        <v>499</v>
      </c>
      <c r="F168" s="343"/>
      <c r="G168" s="343">
        <v>0</v>
      </c>
      <c r="H168" s="280" t="s">
        <v>276</v>
      </c>
      <c r="I168" s="280" t="s">
        <v>491</v>
      </c>
      <c r="J168" s="88"/>
      <c r="K168" s="40"/>
      <c r="L168" s="40"/>
      <c r="M168" s="40"/>
      <c r="N168" s="40"/>
      <c r="O168" s="351"/>
      <c r="P168" s="267"/>
      <c r="Q168" s="40"/>
      <c r="R168" s="40"/>
      <c r="S168" s="40"/>
      <c r="T168" s="40"/>
      <c r="U168" s="40"/>
      <c r="V168" s="40"/>
      <c r="W168"/>
      <c r="X168"/>
    </row>
    <row r="169" spans="1:24" ht="15.75" customHeight="1" thickBot="1" x14ac:dyDescent="0.3">
      <c r="A169" s="612"/>
      <c r="B169" s="587"/>
      <c r="C169" s="532"/>
      <c r="D169" s="130" t="s">
        <v>207</v>
      </c>
      <c r="E169" s="300" t="s">
        <v>312</v>
      </c>
      <c r="F169" s="357"/>
      <c r="G169" s="357">
        <v>0</v>
      </c>
      <c r="H169" s="292" t="s">
        <v>276</v>
      </c>
      <c r="I169" s="292" t="s">
        <v>500</v>
      </c>
      <c r="J169" s="314" t="s">
        <v>385</v>
      </c>
      <c r="K169" s="40"/>
      <c r="O169" s="351">
        <v>26.31</v>
      </c>
      <c r="P169" s="267">
        <f t="shared" si="2"/>
        <v>0</v>
      </c>
      <c r="W169"/>
      <c r="X169"/>
    </row>
    <row r="170" spans="1:24" ht="30" x14ac:dyDescent="0.25">
      <c r="A170" s="612"/>
      <c r="B170" s="587"/>
      <c r="C170" s="618" t="s">
        <v>501</v>
      </c>
      <c r="D170" s="298" t="s">
        <v>213</v>
      </c>
      <c r="E170" s="389" t="s">
        <v>502</v>
      </c>
      <c r="F170" s="390"/>
      <c r="G170" s="390">
        <v>0</v>
      </c>
      <c r="H170" s="389" t="s">
        <v>158</v>
      </c>
      <c r="I170" s="391" t="s">
        <v>501</v>
      </c>
      <c r="J170" s="392" t="s">
        <v>503</v>
      </c>
      <c r="K170" s="40"/>
      <c r="L170" s="264">
        <v>1</v>
      </c>
      <c r="O170" s="351"/>
      <c r="P170" s="267">
        <f t="shared" si="2"/>
        <v>0</v>
      </c>
      <c r="W170"/>
      <c r="X170"/>
    </row>
    <row r="171" spans="1:24" ht="15.75" customHeight="1" x14ac:dyDescent="0.25">
      <c r="A171" s="612"/>
      <c r="B171" s="587"/>
      <c r="C171" s="619"/>
      <c r="D171" s="269" t="s">
        <v>215</v>
      </c>
      <c r="E171" s="280" t="s">
        <v>504</v>
      </c>
      <c r="F171" s="359">
        <f>ROUNDUP(F170/0.9*20,0)</f>
        <v>0</v>
      </c>
      <c r="G171" s="359">
        <v>0</v>
      </c>
      <c r="H171" s="280" t="s">
        <v>276</v>
      </c>
      <c r="I171" s="280" t="s">
        <v>505</v>
      </c>
      <c r="J171" s="387"/>
      <c r="K171" s="40"/>
      <c r="O171" s="351"/>
      <c r="P171" s="267">
        <f t="shared" si="2"/>
        <v>0</v>
      </c>
      <c r="W171"/>
      <c r="X171"/>
    </row>
    <row r="172" spans="1:24" ht="15.75" customHeight="1" thickBot="1" x14ac:dyDescent="0.3">
      <c r="A172" s="612"/>
      <c r="B172" s="587"/>
      <c r="C172" s="540"/>
      <c r="D172" s="299" t="s">
        <v>213</v>
      </c>
      <c r="E172" s="300" t="s">
        <v>506</v>
      </c>
      <c r="F172" s="393"/>
      <c r="G172" s="393">
        <v>0</v>
      </c>
      <c r="H172" s="292" t="s">
        <v>237</v>
      </c>
      <c r="I172" s="292" t="s">
        <v>507</v>
      </c>
      <c r="J172" s="394"/>
      <c r="K172" s="40"/>
      <c r="O172" s="351"/>
      <c r="P172" s="267">
        <f t="shared" si="2"/>
        <v>0</v>
      </c>
      <c r="W172"/>
      <c r="X172"/>
    </row>
    <row r="173" spans="1:24" x14ac:dyDescent="0.25">
      <c r="A173" s="612"/>
      <c r="B173" s="587"/>
      <c r="C173" s="547" t="s">
        <v>508</v>
      </c>
      <c r="D173" s="298" t="s">
        <v>213</v>
      </c>
      <c r="E173" s="384" t="s">
        <v>1162</v>
      </c>
      <c r="F173" s="342"/>
      <c r="G173" s="342">
        <v>0</v>
      </c>
      <c r="H173" s="282" t="s">
        <v>158</v>
      </c>
      <c r="I173" s="282" t="s">
        <v>509</v>
      </c>
      <c r="J173" s="395" t="s">
        <v>503</v>
      </c>
      <c r="K173" s="40"/>
      <c r="L173" s="264">
        <v>1</v>
      </c>
      <c r="O173" s="351"/>
      <c r="P173" s="267">
        <f t="shared" si="2"/>
        <v>0</v>
      </c>
      <c r="W173"/>
      <c r="X173"/>
    </row>
    <row r="174" spans="1:24" ht="15.75" customHeight="1" x14ac:dyDescent="0.25">
      <c r="A174" s="612"/>
      <c r="B174" s="587"/>
      <c r="C174" s="620"/>
      <c r="D174" s="269" t="s">
        <v>215</v>
      </c>
      <c r="E174" s="280" t="s">
        <v>504</v>
      </c>
      <c r="F174" s="359">
        <f>F173/0.9*10</f>
        <v>0</v>
      </c>
      <c r="G174" s="359">
        <v>0</v>
      </c>
      <c r="H174" s="280" t="s">
        <v>276</v>
      </c>
      <c r="I174" s="280" t="s">
        <v>510</v>
      </c>
      <c r="J174" s="387"/>
      <c r="K174" s="40"/>
      <c r="O174" s="351"/>
      <c r="P174" s="267">
        <f t="shared" si="2"/>
        <v>0</v>
      </c>
      <c r="W174"/>
      <c r="X174"/>
    </row>
    <row r="175" spans="1:24" ht="15.75" customHeight="1" thickBot="1" x14ac:dyDescent="0.3">
      <c r="A175" s="612"/>
      <c r="B175" s="587"/>
      <c r="C175" s="621"/>
      <c r="D175" s="299" t="s">
        <v>213</v>
      </c>
      <c r="E175" s="300" t="s">
        <v>511</v>
      </c>
      <c r="F175" s="393"/>
      <c r="G175" s="393">
        <v>0</v>
      </c>
      <c r="H175" s="292" t="s">
        <v>237</v>
      </c>
      <c r="I175" s="292" t="s">
        <v>512</v>
      </c>
      <c r="J175" s="394"/>
      <c r="K175" s="40"/>
      <c r="O175" s="351"/>
      <c r="P175" s="267">
        <f t="shared" si="2"/>
        <v>0</v>
      </c>
      <c r="W175"/>
      <c r="X175"/>
    </row>
    <row r="176" spans="1:24" ht="15.75" customHeight="1" x14ac:dyDescent="0.25">
      <c r="A176" s="612"/>
      <c r="B176" s="587"/>
      <c r="C176" s="530" t="s">
        <v>513</v>
      </c>
      <c r="D176" s="97" t="s">
        <v>207</v>
      </c>
      <c r="E176" s="86" t="s">
        <v>1163</v>
      </c>
      <c r="F176" s="85"/>
      <c r="G176" s="85">
        <v>0</v>
      </c>
      <c r="H176" s="86" t="s">
        <v>276</v>
      </c>
      <c r="I176" s="86" t="s">
        <v>515</v>
      </c>
      <c r="J176" s="131"/>
      <c r="K176" s="40"/>
      <c r="O176" s="351">
        <v>2.0299999999999998</v>
      </c>
      <c r="P176" s="267">
        <f t="shared" si="2"/>
        <v>0</v>
      </c>
      <c r="W176"/>
      <c r="X176"/>
    </row>
    <row r="177" spans="1:24" ht="15.75" customHeight="1" x14ac:dyDescent="0.25">
      <c r="A177" s="612"/>
      <c r="B177" s="587"/>
      <c r="C177" s="533"/>
      <c r="D177" s="269" t="s">
        <v>215</v>
      </c>
      <c r="E177" s="295" t="s">
        <v>516</v>
      </c>
      <c r="F177" s="359">
        <f>(F176)*10</f>
        <v>0</v>
      </c>
      <c r="G177" s="359">
        <v>0</v>
      </c>
      <c r="H177" s="289" t="s">
        <v>276</v>
      </c>
      <c r="I177" s="289" t="s">
        <v>517</v>
      </c>
      <c r="J177" s="290"/>
      <c r="K177" s="40"/>
      <c r="O177" s="351"/>
      <c r="P177" s="267">
        <f t="shared" si="2"/>
        <v>0</v>
      </c>
      <c r="W177"/>
      <c r="X177"/>
    </row>
    <row r="178" spans="1:24" ht="15.75" customHeight="1" x14ac:dyDescent="0.25">
      <c r="A178" s="612"/>
      <c r="B178" s="587"/>
      <c r="C178" s="533"/>
      <c r="D178" s="268" t="s">
        <v>213</v>
      </c>
      <c r="E178" s="295" t="s">
        <v>518</v>
      </c>
      <c r="F178" s="343"/>
      <c r="G178" s="343">
        <v>0</v>
      </c>
      <c r="H178" s="289" t="s">
        <v>158</v>
      </c>
      <c r="I178" s="289" t="s">
        <v>519</v>
      </c>
      <c r="J178" s="290"/>
      <c r="K178" s="40"/>
      <c r="O178" s="351"/>
      <c r="P178" s="267">
        <f t="shared" si="2"/>
        <v>0</v>
      </c>
      <c r="W178"/>
      <c r="X178"/>
    </row>
    <row r="179" spans="1:24" ht="15.75" customHeight="1" x14ac:dyDescent="0.25">
      <c r="A179" s="612"/>
      <c r="B179" s="587"/>
      <c r="C179" s="533"/>
      <c r="D179" s="268" t="s">
        <v>213</v>
      </c>
      <c r="E179" s="295" t="s">
        <v>511</v>
      </c>
      <c r="F179" s="343"/>
      <c r="G179" s="343">
        <v>0</v>
      </c>
      <c r="H179" s="289" t="s">
        <v>237</v>
      </c>
      <c r="I179" s="289" t="s">
        <v>520</v>
      </c>
      <c r="J179" s="290" t="s">
        <v>521</v>
      </c>
      <c r="K179" s="40"/>
      <c r="O179" s="351"/>
      <c r="P179" s="267">
        <f t="shared" si="2"/>
        <v>0</v>
      </c>
      <c r="W179"/>
      <c r="X179"/>
    </row>
    <row r="180" spans="1:24" ht="15.75" customHeight="1" thickBot="1" x14ac:dyDescent="0.3">
      <c r="A180" s="612"/>
      <c r="B180" s="587"/>
      <c r="C180" s="532"/>
      <c r="D180" s="283" t="s">
        <v>215</v>
      </c>
      <c r="E180" s="285" t="s">
        <v>504</v>
      </c>
      <c r="F180" s="353">
        <f>F178*20</f>
        <v>0</v>
      </c>
      <c r="G180" s="353">
        <v>0</v>
      </c>
      <c r="H180" s="285" t="s">
        <v>276</v>
      </c>
      <c r="I180" s="285" t="s">
        <v>522</v>
      </c>
      <c r="J180" s="286"/>
      <c r="K180" s="40"/>
      <c r="O180" s="351"/>
      <c r="P180" s="267">
        <f t="shared" si="2"/>
        <v>0</v>
      </c>
      <c r="W180"/>
      <c r="X180"/>
    </row>
    <row r="181" spans="1:24" ht="15.75" customHeight="1" x14ac:dyDescent="0.25">
      <c r="A181" s="612"/>
      <c r="B181" s="587"/>
      <c r="C181" s="547" t="s">
        <v>523</v>
      </c>
      <c r="D181" s="302" t="s">
        <v>290</v>
      </c>
      <c r="E181" s="303" t="s">
        <v>524</v>
      </c>
      <c r="F181" s="342"/>
      <c r="G181" s="342">
        <v>0</v>
      </c>
      <c r="H181" s="287" t="s">
        <v>394</v>
      </c>
      <c r="I181" s="287"/>
      <c r="J181" s="354" t="s">
        <v>525</v>
      </c>
      <c r="K181" s="40"/>
      <c r="O181" s="351"/>
      <c r="P181" s="267">
        <f t="shared" si="2"/>
        <v>0</v>
      </c>
      <c r="W181"/>
      <c r="X181"/>
    </row>
    <row r="182" spans="1:24" ht="15.75" customHeight="1" x14ac:dyDescent="0.25">
      <c r="A182" s="612"/>
      <c r="B182" s="587"/>
      <c r="C182" s="555"/>
      <c r="D182" s="132" t="s">
        <v>290</v>
      </c>
      <c r="E182" s="304" t="s">
        <v>526</v>
      </c>
      <c r="F182" s="343"/>
      <c r="G182" s="343">
        <v>0</v>
      </c>
      <c r="H182" s="289" t="s">
        <v>394</v>
      </c>
      <c r="I182" s="289"/>
      <c r="J182" s="355" t="s">
        <v>527</v>
      </c>
      <c r="K182" s="40"/>
      <c r="O182" s="351"/>
      <c r="P182" s="267">
        <f t="shared" si="2"/>
        <v>0</v>
      </c>
      <c r="W182"/>
      <c r="X182"/>
    </row>
    <row r="183" spans="1:24" ht="15.75" customHeight="1" x14ac:dyDescent="0.25">
      <c r="A183" s="612"/>
      <c r="B183" s="587"/>
      <c r="C183" s="555"/>
      <c r="D183" s="132" t="s">
        <v>290</v>
      </c>
      <c r="E183" s="304" t="s">
        <v>528</v>
      </c>
      <c r="F183" s="343"/>
      <c r="G183" s="343">
        <v>0</v>
      </c>
      <c r="H183" s="289" t="s">
        <v>394</v>
      </c>
      <c r="I183" s="289"/>
      <c r="J183" s="290"/>
      <c r="K183" s="40"/>
      <c r="O183" s="351"/>
      <c r="P183" s="267">
        <f t="shared" si="2"/>
        <v>0</v>
      </c>
      <c r="W183"/>
      <c r="X183"/>
    </row>
    <row r="184" spans="1:24" ht="15.75" customHeight="1" x14ac:dyDescent="0.25">
      <c r="A184" s="612"/>
      <c r="B184" s="587"/>
      <c r="C184" s="555"/>
      <c r="D184" s="132" t="s">
        <v>290</v>
      </c>
      <c r="E184" s="304" t="s">
        <v>529</v>
      </c>
      <c r="F184" s="343"/>
      <c r="G184" s="343">
        <v>0</v>
      </c>
      <c r="H184" s="289" t="s">
        <v>394</v>
      </c>
      <c r="I184" s="289"/>
      <c r="J184" s="290"/>
      <c r="K184" s="40"/>
      <c r="O184" s="351"/>
      <c r="P184" s="267">
        <f t="shared" si="2"/>
        <v>0</v>
      </c>
      <c r="W184"/>
      <c r="X184"/>
    </row>
    <row r="185" spans="1:24" ht="15.75" customHeight="1" x14ac:dyDescent="0.25">
      <c r="A185" s="612"/>
      <c r="B185" s="587"/>
      <c r="C185" s="555"/>
      <c r="D185" s="132" t="s">
        <v>290</v>
      </c>
      <c r="E185" s="305" t="s">
        <v>530</v>
      </c>
      <c r="F185" s="343"/>
      <c r="G185" s="343">
        <v>0</v>
      </c>
      <c r="H185" s="289" t="s">
        <v>394</v>
      </c>
      <c r="I185" s="280"/>
      <c r="J185" s="290"/>
      <c r="K185" s="40"/>
      <c r="O185" s="351"/>
      <c r="P185" s="267">
        <f t="shared" si="2"/>
        <v>0</v>
      </c>
      <c r="W185"/>
      <c r="X185"/>
    </row>
    <row r="186" spans="1:24" ht="15.75" customHeight="1" thickBot="1" x14ac:dyDescent="0.3">
      <c r="A186" s="612"/>
      <c r="B186" s="587"/>
      <c r="C186" s="581"/>
      <c r="D186" s="133" t="s">
        <v>290</v>
      </c>
      <c r="E186" s="396" t="s">
        <v>531</v>
      </c>
      <c r="F186" s="357"/>
      <c r="G186" s="357">
        <v>0</v>
      </c>
      <c r="H186" s="285" t="s">
        <v>394</v>
      </c>
      <c r="I186" s="292"/>
      <c r="J186" s="286"/>
      <c r="K186" s="40"/>
      <c r="O186" s="351"/>
      <c r="P186" s="267">
        <f t="shared" si="2"/>
        <v>0</v>
      </c>
      <c r="W186"/>
      <c r="X186"/>
    </row>
    <row r="187" spans="1:24" ht="15.75" customHeight="1" x14ac:dyDescent="0.25">
      <c r="A187" s="612"/>
      <c r="B187" s="587"/>
      <c r="C187" s="622" t="s">
        <v>532</v>
      </c>
      <c r="D187" s="276" t="s">
        <v>215</v>
      </c>
      <c r="E187" s="397" t="s">
        <v>533</v>
      </c>
      <c r="F187" s="117"/>
      <c r="G187" s="342">
        <v>0</v>
      </c>
      <c r="H187" s="101" t="s">
        <v>276</v>
      </c>
      <c r="I187" s="282" t="s">
        <v>534</v>
      </c>
      <c r="J187" s="119" t="s">
        <v>535</v>
      </c>
      <c r="K187" s="40"/>
      <c r="O187" s="351"/>
      <c r="P187" s="267"/>
      <c r="W187"/>
      <c r="X187"/>
    </row>
    <row r="188" spans="1:24" ht="15.75" customHeight="1" thickBot="1" x14ac:dyDescent="0.3">
      <c r="A188" s="613"/>
      <c r="B188" s="589"/>
      <c r="C188" s="623"/>
      <c r="D188" s="283" t="s">
        <v>215</v>
      </c>
      <c r="E188" s="134" t="s">
        <v>339</v>
      </c>
      <c r="F188" s="357"/>
      <c r="G188" s="357">
        <v>0</v>
      </c>
      <c r="H188" s="285" t="s">
        <v>276</v>
      </c>
      <c r="I188" s="292" t="s">
        <v>536</v>
      </c>
      <c r="J188" s="286" t="s">
        <v>535</v>
      </c>
      <c r="K188" s="40"/>
      <c r="O188" s="351"/>
      <c r="P188" s="267">
        <f t="shared" si="2"/>
        <v>0</v>
      </c>
      <c r="W188"/>
      <c r="X188"/>
    </row>
    <row r="189" spans="1:24" ht="15.75" customHeight="1" x14ac:dyDescent="0.25">
      <c r="A189" s="558" t="s">
        <v>537</v>
      </c>
      <c r="B189" s="572"/>
      <c r="C189" s="547" t="s">
        <v>538</v>
      </c>
      <c r="D189" s="398" t="s">
        <v>213</v>
      </c>
      <c r="E189" s="287" t="s">
        <v>539</v>
      </c>
      <c r="F189" s="342"/>
      <c r="G189" s="342">
        <v>0</v>
      </c>
      <c r="H189" s="282" t="s">
        <v>158</v>
      </c>
      <c r="I189" s="135" t="s">
        <v>540</v>
      </c>
      <c r="J189" s="313"/>
      <c r="K189" s="40"/>
      <c r="O189" s="351"/>
      <c r="P189" s="267">
        <f t="shared" si="2"/>
        <v>0</v>
      </c>
      <c r="W189"/>
      <c r="X189"/>
    </row>
    <row r="190" spans="1:24" ht="15.75" customHeight="1" x14ac:dyDescent="0.25">
      <c r="A190" s="573"/>
      <c r="B190" s="574"/>
      <c r="C190" s="555"/>
      <c r="D190" s="87" t="s">
        <v>215</v>
      </c>
      <c r="E190" s="289" t="s">
        <v>504</v>
      </c>
      <c r="F190" s="359">
        <f>F189/0.9*10</f>
        <v>0</v>
      </c>
      <c r="G190" s="359">
        <v>0</v>
      </c>
      <c r="H190" s="289" t="s">
        <v>276</v>
      </c>
      <c r="I190" s="289" t="s">
        <v>541</v>
      </c>
      <c r="J190" s="290"/>
      <c r="K190" s="40"/>
      <c r="O190" s="351"/>
      <c r="P190" s="267">
        <f t="shared" si="2"/>
        <v>0</v>
      </c>
      <c r="W190"/>
      <c r="X190"/>
    </row>
    <row r="191" spans="1:24" ht="15.75" customHeight="1" x14ac:dyDescent="0.25">
      <c r="A191" s="573"/>
      <c r="B191" s="574"/>
      <c r="C191" s="555"/>
      <c r="D191" s="91" t="s">
        <v>290</v>
      </c>
      <c r="E191" s="289" t="s">
        <v>542</v>
      </c>
      <c r="F191" s="348"/>
      <c r="G191" s="348">
        <v>0</v>
      </c>
      <c r="H191" s="280" t="s">
        <v>543</v>
      </c>
      <c r="I191" s="280" t="s">
        <v>544</v>
      </c>
      <c r="J191" s="316"/>
      <c r="K191" s="40"/>
      <c r="O191" s="351"/>
      <c r="P191" s="267">
        <f t="shared" si="2"/>
        <v>0</v>
      </c>
      <c r="W191"/>
      <c r="X191"/>
    </row>
    <row r="192" spans="1:24" ht="15.75" customHeight="1" x14ac:dyDescent="0.25">
      <c r="A192" s="573"/>
      <c r="B192" s="574"/>
      <c r="C192" s="555"/>
      <c r="D192" s="399" t="s">
        <v>213</v>
      </c>
      <c r="E192" s="295" t="s">
        <v>511</v>
      </c>
      <c r="F192" s="343"/>
      <c r="G192" s="343">
        <v>0</v>
      </c>
      <c r="H192" s="280" t="s">
        <v>237</v>
      </c>
      <c r="I192" s="280" t="s">
        <v>545</v>
      </c>
      <c r="J192" s="316"/>
      <c r="K192" s="40"/>
      <c r="O192" s="351"/>
      <c r="P192" s="267">
        <f t="shared" si="2"/>
        <v>0</v>
      </c>
      <c r="W192"/>
      <c r="X192"/>
    </row>
    <row r="193" spans="1:24" ht="15.75" customHeight="1" thickBot="1" x14ac:dyDescent="0.3">
      <c r="A193" s="573"/>
      <c r="B193" s="574"/>
      <c r="C193" s="581"/>
      <c r="D193" s="400" t="s">
        <v>213</v>
      </c>
      <c r="E193" s="136" t="s">
        <v>546</v>
      </c>
      <c r="F193" s="125"/>
      <c r="G193" s="125">
        <v>0</v>
      </c>
      <c r="H193" s="124" t="s">
        <v>158</v>
      </c>
      <c r="I193" s="137" t="s">
        <v>547</v>
      </c>
      <c r="J193" s="138"/>
      <c r="K193" s="40"/>
      <c r="O193" s="351"/>
      <c r="P193" s="267"/>
      <c r="W193"/>
      <c r="X193"/>
    </row>
    <row r="194" spans="1:24" ht="15.75" customHeight="1" x14ac:dyDescent="0.25">
      <c r="A194" s="573"/>
      <c r="B194" s="574"/>
      <c r="C194" s="529" t="s">
        <v>548</v>
      </c>
      <c r="D194" s="139" t="s">
        <v>207</v>
      </c>
      <c r="E194" s="282" t="s">
        <v>1163</v>
      </c>
      <c r="F194" s="342"/>
      <c r="G194" s="342">
        <v>0</v>
      </c>
      <c r="H194" s="282" t="s">
        <v>276</v>
      </c>
      <c r="I194" s="282" t="s">
        <v>549</v>
      </c>
      <c r="J194" s="313"/>
      <c r="K194" s="40"/>
      <c r="O194" s="351">
        <v>2.0299999999999998</v>
      </c>
      <c r="P194" s="267">
        <f t="shared" si="2"/>
        <v>0</v>
      </c>
      <c r="W194"/>
      <c r="X194"/>
    </row>
    <row r="195" spans="1:24" ht="15.75" customHeight="1" thickBot="1" x14ac:dyDescent="0.3">
      <c r="A195" s="573"/>
      <c r="B195" s="574"/>
      <c r="C195" s="530"/>
      <c r="D195" s="140" t="s">
        <v>215</v>
      </c>
      <c r="E195" s="292" t="s">
        <v>498</v>
      </c>
      <c r="F195" s="353">
        <f>F194*10</f>
        <v>0</v>
      </c>
      <c r="G195" s="353">
        <v>0</v>
      </c>
      <c r="H195" s="292" t="s">
        <v>276</v>
      </c>
      <c r="I195" s="292" t="s">
        <v>550</v>
      </c>
      <c r="J195" s="314"/>
      <c r="K195" s="40"/>
      <c r="O195" s="351"/>
      <c r="P195" s="267">
        <f t="shared" si="2"/>
        <v>0</v>
      </c>
      <c r="W195"/>
      <c r="X195"/>
    </row>
    <row r="196" spans="1:24" ht="15.75" customHeight="1" x14ac:dyDescent="0.25">
      <c r="A196" s="573"/>
      <c r="B196" s="574"/>
      <c r="C196" s="530"/>
      <c r="D196" s="141" t="s">
        <v>207</v>
      </c>
      <c r="E196" s="315" t="s">
        <v>551</v>
      </c>
      <c r="F196" s="342"/>
      <c r="G196" s="342">
        <v>0</v>
      </c>
      <c r="H196" s="282"/>
      <c r="I196" s="282" t="s">
        <v>549</v>
      </c>
      <c r="J196" s="142"/>
      <c r="K196" s="40"/>
      <c r="O196" s="351"/>
      <c r="P196" s="267"/>
      <c r="W196"/>
      <c r="X196"/>
    </row>
    <row r="197" spans="1:24" ht="15.75" customHeight="1" thickBot="1" x14ac:dyDescent="0.3">
      <c r="A197" s="573"/>
      <c r="B197" s="574"/>
      <c r="C197" s="530"/>
      <c r="D197" s="143" t="s">
        <v>215</v>
      </c>
      <c r="E197" s="89" t="s">
        <v>339</v>
      </c>
      <c r="F197" s="144">
        <f>F196*20</f>
        <v>0</v>
      </c>
      <c r="G197" s="144">
        <v>0</v>
      </c>
      <c r="H197" s="145"/>
      <c r="I197" s="145" t="s">
        <v>552</v>
      </c>
      <c r="J197" s="142"/>
      <c r="K197" s="40"/>
      <c r="O197" s="351"/>
      <c r="P197" s="267"/>
      <c r="W197"/>
      <c r="X197"/>
    </row>
    <row r="198" spans="1:24" ht="15.75" customHeight="1" x14ac:dyDescent="0.25">
      <c r="A198" s="573"/>
      <c r="B198" s="574"/>
      <c r="C198" s="530"/>
      <c r="D198" s="141" t="s">
        <v>207</v>
      </c>
      <c r="E198" s="315" t="s">
        <v>553</v>
      </c>
      <c r="F198" s="342"/>
      <c r="G198" s="342">
        <v>0</v>
      </c>
      <c r="H198" s="282"/>
      <c r="I198" s="282" t="s">
        <v>549</v>
      </c>
      <c r="J198" s="313"/>
      <c r="K198" s="40"/>
      <c r="O198" s="351"/>
      <c r="P198" s="267">
        <f t="shared" si="2"/>
        <v>0</v>
      </c>
      <c r="W198"/>
      <c r="X198"/>
    </row>
    <row r="199" spans="1:24" ht="15.75" customHeight="1" thickBot="1" x14ac:dyDescent="0.3">
      <c r="A199" s="573"/>
      <c r="B199" s="574"/>
      <c r="C199" s="531"/>
      <c r="D199" s="143" t="s">
        <v>215</v>
      </c>
      <c r="E199" s="89" t="s">
        <v>339</v>
      </c>
      <c r="F199" s="144">
        <f>F198*20</f>
        <v>0</v>
      </c>
      <c r="G199" s="144">
        <v>0</v>
      </c>
      <c r="H199" s="145"/>
      <c r="I199" s="145" t="s">
        <v>552</v>
      </c>
      <c r="J199" s="142"/>
      <c r="K199" s="40"/>
      <c r="O199" s="351"/>
      <c r="P199" s="267">
        <f t="shared" si="2"/>
        <v>0</v>
      </c>
      <c r="W199"/>
      <c r="X199"/>
    </row>
    <row r="200" spans="1:24" ht="15.75" customHeight="1" x14ac:dyDescent="0.25">
      <c r="A200" s="573"/>
      <c r="B200" s="574"/>
      <c r="C200" s="529" t="s">
        <v>554</v>
      </c>
      <c r="D200" s="139" t="s">
        <v>207</v>
      </c>
      <c r="E200" s="282" t="s">
        <v>499</v>
      </c>
      <c r="F200" s="342"/>
      <c r="G200" s="342">
        <v>0</v>
      </c>
      <c r="H200" s="282" t="s">
        <v>276</v>
      </c>
      <c r="I200" s="282" t="s">
        <v>555</v>
      </c>
      <c r="J200" s="313"/>
      <c r="K200" s="40"/>
      <c r="O200" s="351">
        <v>7.49</v>
      </c>
      <c r="P200" s="267">
        <f t="shared" si="2"/>
        <v>0</v>
      </c>
      <c r="W200"/>
      <c r="X200"/>
    </row>
    <row r="201" spans="1:24" ht="15.75" customHeight="1" x14ac:dyDescent="0.25">
      <c r="A201" s="573"/>
      <c r="B201" s="574"/>
      <c r="C201" s="533"/>
      <c r="D201" s="146" t="s">
        <v>207</v>
      </c>
      <c r="E201" s="280" t="s">
        <v>556</v>
      </c>
      <c r="F201" s="343"/>
      <c r="G201" s="343">
        <v>0</v>
      </c>
      <c r="H201" s="280" t="s">
        <v>276</v>
      </c>
      <c r="I201" s="280" t="s">
        <v>557</v>
      </c>
      <c r="J201" s="316"/>
      <c r="K201" s="40"/>
      <c r="O201" s="351">
        <v>11.25</v>
      </c>
      <c r="P201" s="267">
        <f t="shared" si="2"/>
        <v>0</v>
      </c>
      <c r="W201"/>
      <c r="X201"/>
    </row>
    <row r="202" spans="1:24" ht="15.75" customHeight="1" x14ac:dyDescent="0.25">
      <c r="A202" s="573"/>
      <c r="B202" s="574"/>
      <c r="C202" s="533"/>
      <c r="D202" s="87" t="s">
        <v>215</v>
      </c>
      <c r="E202" s="75" t="s">
        <v>498</v>
      </c>
      <c r="F202" s="388">
        <f>(F200+F201)*20</f>
        <v>0</v>
      </c>
      <c r="G202" s="388">
        <v>0</v>
      </c>
      <c r="H202" s="280" t="s">
        <v>276</v>
      </c>
      <c r="I202" s="295" t="s">
        <v>558</v>
      </c>
      <c r="J202" s="316"/>
      <c r="K202" s="40"/>
      <c r="O202" s="351"/>
      <c r="P202" s="267">
        <f t="shared" si="2"/>
        <v>0</v>
      </c>
      <c r="W202"/>
      <c r="X202"/>
    </row>
    <row r="203" spans="1:24" ht="15.75" customHeight="1" x14ac:dyDescent="0.25">
      <c r="A203" s="573"/>
      <c r="B203" s="574"/>
      <c r="C203" s="533"/>
      <c r="D203" s="146" t="s">
        <v>207</v>
      </c>
      <c r="E203" s="311" t="s">
        <v>310</v>
      </c>
      <c r="F203" s="343"/>
      <c r="G203" s="343">
        <v>0</v>
      </c>
      <c r="H203" s="280" t="s">
        <v>276</v>
      </c>
      <c r="I203" s="280" t="s">
        <v>559</v>
      </c>
      <c r="J203" s="316"/>
      <c r="K203" s="40"/>
      <c r="L203" s="40"/>
      <c r="M203" s="40"/>
      <c r="N203" s="40"/>
      <c r="O203" s="351"/>
      <c r="P203" s="267"/>
      <c r="Q203" s="40"/>
      <c r="R203" s="40"/>
      <c r="S203" s="40"/>
      <c r="T203" s="40"/>
      <c r="U203" s="40"/>
      <c r="V203" s="40"/>
      <c r="W203"/>
      <c r="X203"/>
    </row>
    <row r="204" spans="1:24" ht="15.75" customHeight="1" x14ac:dyDescent="0.25">
      <c r="A204" s="573"/>
      <c r="B204" s="574"/>
      <c r="C204" s="533"/>
      <c r="D204" s="147" t="s">
        <v>207</v>
      </c>
      <c r="E204" s="86" t="s">
        <v>560</v>
      </c>
      <c r="F204" s="85"/>
      <c r="G204" s="85">
        <v>0</v>
      </c>
      <c r="H204" s="86" t="s">
        <v>276</v>
      </c>
      <c r="I204" s="86" t="s">
        <v>561</v>
      </c>
      <c r="J204" s="316"/>
      <c r="K204" s="40"/>
      <c r="O204" s="351">
        <v>11.39</v>
      </c>
      <c r="P204" s="267">
        <f t="shared" si="2"/>
        <v>0</v>
      </c>
      <c r="W204"/>
      <c r="X204"/>
    </row>
    <row r="205" spans="1:24" ht="15.75" customHeight="1" x14ac:dyDescent="0.25">
      <c r="A205" s="573"/>
      <c r="B205" s="574"/>
      <c r="C205" s="533"/>
      <c r="D205" s="146" t="s">
        <v>207</v>
      </c>
      <c r="E205" s="86" t="s">
        <v>1164</v>
      </c>
      <c r="F205" s="343"/>
      <c r="G205" s="343">
        <v>0</v>
      </c>
      <c r="H205" s="280" t="s">
        <v>276</v>
      </c>
      <c r="I205" s="280" t="s">
        <v>561</v>
      </c>
      <c r="J205" s="316"/>
      <c r="K205" s="40"/>
      <c r="O205" s="351">
        <v>11.99</v>
      </c>
      <c r="P205" s="267">
        <f t="shared" si="2"/>
        <v>0</v>
      </c>
      <c r="W205"/>
      <c r="X205"/>
    </row>
    <row r="206" spans="1:24" ht="15.75" customHeight="1" x14ac:dyDescent="0.25">
      <c r="A206" s="573"/>
      <c r="B206" s="574"/>
      <c r="C206" s="533"/>
      <c r="D206" s="146" t="s">
        <v>207</v>
      </c>
      <c r="E206" s="280" t="s">
        <v>562</v>
      </c>
      <c r="F206" s="102"/>
      <c r="G206" s="102">
        <v>0</v>
      </c>
      <c r="H206" s="280" t="s">
        <v>276</v>
      </c>
      <c r="I206" s="280" t="s">
        <v>561</v>
      </c>
      <c r="J206" s="88"/>
      <c r="K206" s="40"/>
      <c r="O206" s="351"/>
      <c r="P206" s="267"/>
      <c r="W206"/>
      <c r="X206"/>
    </row>
    <row r="207" spans="1:24" ht="15.75" customHeight="1" thickBot="1" x14ac:dyDescent="0.3">
      <c r="A207" s="573"/>
      <c r="B207" s="574"/>
      <c r="C207" s="533"/>
      <c r="D207" s="140" t="s">
        <v>215</v>
      </c>
      <c r="E207" s="300" t="s">
        <v>339</v>
      </c>
      <c r="F207" s="353">
        <f>(F204+F205+F203+F206)*20</f>
        <v>0</v>
      </c>
      <c r="G207" s="353">
        <v>0</v>
      </c>
      <c r="H207" s="292" t="s">
        <v>276</v>
      </c>
      <c r="I207" s="292" t="s">
        <v>563</v>
      </c>
      <c r="J207" s="314"/>
      <c r="K207" s="40"/>
      <c r="O207" s="351"/>
      <c r="P207" s="267">
        <f t="shared" si="2"/>
        <v>0</v>
      </c>
      <c r="W207"/>
      <c r="X207"/>
    </row>
    <row r="208" spans="1:24" ht="15.75" customHeight="1" x14ac:dyDescent="0.25">
      <c r="A208" s="573"/>
      <c r="B208" s="574"/>
      <c r="C208" s="533"/>
      <c r="D208" s="148" t="s">
        <v>207</v>
      </c>
      <c r="E208" s="149" t="s">
        <v>564</v>
      </c>
      <c r="F208" s="150"/>
      <c r="G208" s="342">
        <v>0</v>
      </c>
      <c r="H208" s="109" t="s">
        <v>276</v>
      </c>
      <c r="I208" s="282" t="s">
        <v>565</v>
      </c>
      <c r="J208" s="151"/>
      <c r="K208" s="40"/>
      <c r="O208" s="351"/>
      <c r="P208" s="267"/>
      <c r="W208"/>
      <c r="X208"/>
    </row>
    <row r="209" spans="1:24" ht="15.75" customHeight="1" x14ac:dyDescent="0.25">
      <c r="A209" s="573"/>
      <c r="B209" s="574"/>
      <c r="C209" s="533"/>
      <c r="D209" s="152" t="s">
        <v>205</v>
      </c>
      <c r="E209" s="381" t="s">
        <v>566</v>
      </c>
      <c r="F209" s="343"/>
      <c r="G209" s="343">
        <v>0</v>
      </c>
      <c r="H209" s="280" t="s">
        <v>276</v>
      </c>
      <c r="I209" s="280" t="s">
        <v>567</v>
      </c>
      <c r="J209" s="316"/>
      <c r="K209" s="40"/>
      <c r="O209" s="351"/>
      <c r="P209" s="267">
        <f t="shared" si="2"/>
        <v>0</v>
      </c>
      <c r="W209"/>
      <c r="X209"/>
    </row>
    <row r="210" spans="1:24" ht="15.75" customHeight="1" thickBot="1" x14ac:dyDescent="0.3">
      <c r="A210" s="573"/>
      <c r="B210" s="574"/>
      <c r="C210" s="532"/>
      <c r="D210" s="140" t="s">
        <v>215</v>
      </c>
      <c r="E210" s="300" t="s">
        <v>516</v>
      </c>
      <c r="F210" s="377">
        <f>F209*72+F208*15</f>
        <v>0</v>
      </c>
      <c r="G210" s="377">
        <v>0</v>
      </c>
      <c r="H210" s="292" t="s">
        <v>276</v>
      </c>
      <c r="I210" s="300" t="s">
        <v>568</v>
      </c>
      <c r="J210" s="314"/>
      <c r="K210" s="40"/>
      <c r="O210" s="351"/>
      <c r="P210" s="267">
        <f t="shared" si="2"/>
        <v>0</v>
      </c>
      <c r="W210"/>
      <c r="X210"/>
    </row>
    <row r="211" spans="1:24" ht="15.75" customHeight="1" x14ac:dyDescent="0.25">
      <c r="A211" s="573"/>
      <c r="B211" s="574"/>
      <c r="C211" s="529" t="s">
        <v>569</v>
      </c>
      <c r="D211" s="401" t="s">
        <v>205</v>
      </c>
      <c r="E211" s="287" t="s">
        <v>570</v>
      </c>
      <c r="F211" s="342"/>
      <c r="G211" s="342">
        <v>0</v>
      </c>
      <c r="H211" s="287" t="s">
        <v>394</v>
      </c>
      <c r="I211" s="287" t="s">
        <v>1165</v>
      </c>
      <c r="J211" s="288"/>
      <c r="K211" s="40"/>
      <c r="O211" s="351">
        <v>24.38</v>
      </c>
      <c r="P211" s="267">
        <f t="shared" si="2"/>
        <v>0</v>
      </c>
      <c r="W211"/>
      <c r="X211"/>
    </row>
    <row r="212" spans="1:24" ht="15.75" customHeight="1" x14ac:dyDescent="0.25">
      <c r="A212" s="573"/>
      <c r="B212" s="574"/>
      <c r="C212" s="530"/>
      <c r="D212" s="91" t="s">
        <v>290</v>
      </c>
      <c r="E212" s="56" t="s">
        <v>571</v>
      </c>
      <c r="F212" s="85"/>
      <c r="G212" s="85">
        <v>0</v>
      </c>
      <c r="H212" s="56" t="s">
        <v>276</v>
      </c>
      <c r="I212" s="56" t="s">
        <v>572</v>
      </c>
      <c r="J212" s="57"/>
      <c r="K212" s="40"/>
      <c r="O212" s="351"/>
      <c r="P212" s="267"/>
      <c r="W212"/>
      <c r="X212"/>
    </row>
    <row r="213" spans="1:24" ht="15.75" customHeight="1" thickBot="1" x14ac:dyDescent="0.3">
      <c r="A213" s="575"/>
      <c r="B213" s="576"/>
      <c r="C213" s="532"/>
      <c r="D213" s="140" t="s">
        <v>215</v>
      </c>
      <c r="E213" s="308" t="s">
        <v>516</v>
      </c>
      <c r="F213" s="353">
        <f>F211*66</f>
        <v>0</v>
      </c>
      <c r="G213" s="353">
        <v>0</v>
      </c>
      <c r="H213" s="285" t="s">
        <v>276</v>
      </c>
      <c r="I213" s="285" t="s">
        <v>573</v>
      </c>
      <c r="J213" s="286"/>
      <c r="K213" s="40"/>
      <c r="O213" s="351"/>
      <c r="P213" s="267">
        <f t="shared" si="2"/>
        <v>0</v>
      </c>
      <c r="W213"/>
      <c r="X213"/>
    </row>
    <row r="214" spans="1:24" x14ac:dyDescent="0.25">
      <c r="A214" s="559"/>
      <c r="B214" s="585"/>
      <c r="C214" s="533"/>
      <c r="D214" s="266" t="s">
        <v>207</v>
      </c>
      <c r="E214" s="289" t="s">
        <v>576</v>
      </c>
      <c r="F214" s="343"/>
      <c r="G214" s="343">
        <v>0</v>
      </c>
      <c r="H214" s="289" t="s">
        <v>276</v>
      </c>
      <c r="I214" s="289" t="s">
        <v>577</v>
      </c>
      <c r="J214" s="290"/>
      <c r="K214" s="40"/>
      <c r="O214" s="351">
        <v>8.4</v>
      </c>
      <c r="P214" s="267">
        <f t="shared" si="2"/>
        <v>0</v>
      </c>
      <c r="W214"/>
      <c r="X214"/>
    </row>
    <row r="215" spans="1:24" ht="15.75" customHeight="1" x14ac:dyDescent="0.25">
      <c r="A215" s="612"/>
      <c r="B215" s="587"/>
      <c r="C215" s="533"/>
      <c r="D215" s="266" t="s">
        <v>207</v>
      </c>
      <c r="E215" s="289" t="s">
        <v>578</v>
      </c>
      <c r="F215" s="343"/>
      <c r="G215" s="343">
        <v>0</v>
      </c>
      <c r="H215" s="289" t="s">
        <v>276</v>
      </c>
      <c r="I215" s="289"/>
      <c r="J215" s="290"/>
      <c r="K215" s="40"/>
      <c r="O215" s="351">
        <v>10.49</v>
      </c>
      <c r="P215" s="267">
        <f t="shared" si="2"/>
        <v>0</v>
      </c>
      <c r="W215"/>
      <c r="X215"/>
    </row>
    <row r="216" spans="1:24" ht="15.75" customHeight="1" x14ac:dyDescent="0.25">
      <c r="A216" s="612"/>
      <c r="B216" s="587"/>
      <c r="C216" s="533"/>
      <c r="D216" s="266" t="s">
        <v>207</v>
      </c>
      <c r="E216" s="289" t="s">
        <v>579</v>
      </c>
      <c r="F216" s="343"/>
      <c r="G216" s="343">
        <v>0</v>
      </c>
      <c r="H216" s="289" t="s">
        <v>276</v>
      </c>
      <c r="I216" s="289" t="s">
        <v>580</v>
      </c>
      <c r="J216" s="290"/>
      <c r="K216" s="40"/>
      <c r="O216" s="351">
        <v>5.37</v>
      </c>
      <c r="P216" s="267">
        <f t="shared" si="2"/>
        <v>0</v>
      </c>
      <c r="W216"/>
      <c r="X216"/>
    </row>
    <row r="217" spans="1:24" ht="15.75" customHeight="1" x14ac:dyDescent="0.25">
      <c r="A217" s="612"/>
      <c r="B217" s="587"/>
      <c r="C217" s="533"/>
      <c r="D217" s="266" t="s">
        <v>207</v>
      </c>
      <c r="E217" s="289" t="s">
        <v>581</v>
      </c>
      <c r="F217" s="343"/>
      <c r="G217" s="343">
        <v>0</v>
      </c>
      <c r="H217" s="289" t="s">
        <v>171</v>
      </c>
      <c r="I217" s="289" t="s">
        <v>582</v>
      </c>
      <c r="J217" s="290"/>
      <c r="K217" s="40"/>
      <c r="O217" s="351">
        <v>9.09</v>
      </c>
      <c r="P217" s="267">
        <f t="shared" si="2"/>
        <v>0</v>
      </c>
      <c r="W217"/>
      <c r="X217"/>
    </row>
    <row r="218" spans="1:24" ht="15.75" customHeight="1" x14ac:dyDescent="0.25">
      <c r="A218" s="612"/>
      <c r="B218" s="587"/>
      <c r="C218" s="533"/>
      <c r="D218" s="266" t="s">
        <v>207</v>
      </c>
      <c r="E218" s="289" t="s">
        <v>581</v>
      </c>
      <c r="F218" s="343"/>
      <c r="G218" s="343">
        <v>0</v>
      </c>
      <c r="H218" s="289" t="s">
        <v>171</v>
      </c>
      <c r="I218" s="289" t="s">
        <v>582</v>
      </c>
      <c r="J218" s="290"/>
      <c r="K218" s="40"/>
      <c r="O218" s="351"/>
      <c r="P218" s="267"/>
      <c r="W218"/>
      <c r="X218"/>
    </row>
    <row r="219" spans="1:24" ht="15.75" customHeight="1" x14ac:dyDescent="0.25">
      <c r="A219" s="612"/>
      <c r="B219" s="587"/>
      <c r="C219" s="533"/>
      <c r="D219" s="266" t="s">
        <v>207</v>
      </c>
      <c r="E219" s="289" t="s">
        <v>581</v>
      </c>
      <c r="F219" s="343"/>
      <c r="G219" s="343">
        <v>0</v>
      </c>
      <c r="H219" s="289" t="s">
        <v>171</v>
      </c>
      <c r="I219" s="289" t="s">
        <v>582</v>
      </c>
      <c r="J219" s="290"/>
      <c r="K219" s="40"/>
      <c r="O219" s="351"/>
      <c r="P219" s="267"/>
      <c r="W219"/>
      <c r="X219"/>
    </row>
    <row r="220" spans="1:24" ht="15.75" customHeight="1" x14ac:dyDescent="0.25">
      <c r="A220" s="612"/>
      <c r="B220" s="587"/>
      <c r="C220" s="533"/>
      <c r="D220" s="110" t="s">
        <v>421</v>
      </c>
      <c r="E220" s="95" t="s">
        <v>583</v>
      </c>
      <c r="F220" s="359">
        <f>(F214+F215+F216+F217+F218+F219)*22</f>
        <v>0</v>
      </c>
      <c r="G220" s="359">
        <v>0</v>
      </c>
      <c r="H220" s="289" t="s">
        <v>276</v>
      </c>
      <c r="I220" s="289" t="s">
        <v>584</v>
      </c>
      <c r="J220" s="290" t="s">
        <v>585</v>
      </c>
      <c r="K220" s="40"/>
      <c r="O220" s="351"/>
      <c r="P220" s="267">
        <f t="shared" si="2"/>
        <v>0</v>
      </c>
      <c r="W220"/>
      <c r="X220"/>
    </row>
    <row r="221" spans="1:24" ht="15.75" customHeight="1" x14ac:dyDescent="0.25">
      <c r="A221" s="612"/>
      <c r="B221" s="587"/>
      <c r="C221" s="533"/>
      <c r="D221" s="155" t="s">
        <v>586</v>
      </c>
      <c r="E221" s="311" t="s">
        <v>1166</v>
      </c>
      <c r="F221" s="343"/>
      <c r="G221" s="343">
        <v>0</v>
      </c>
      <c r="H221" s="289" t="s">
        <v>276</v>
      </c>
      <c r="I221" s="289"/>
      <c r="J221" s="290"/>
      <c r="K221" s="40"/>
      <c r="O221" s="351"/>
      <c r="P221" s="267">
        <f t="shared" si="2"/>
        <v>0</v>
      </c>
      <c r="W221"/>
      <c r="X221"/>
    </row>
    <row r="222" spans="1:24" ht="15.75" customHeight="1" x14ac:dyDescent="0.25">
      <c r="A222" s="612"/>
      <c r="B222" s="587"/>
      <c r="C222" s="533"/>
      <c r="D222" s="269" t="s">
        <v>215</v>
      </c>
      <c r="E222" s="311" t="s">
        <v>587</v>
      </c>
      <c r="F222" s="379">
        <v>2</v>
      </c>
      <c r="G222" s="379">
        <v>0</v>
      </c>
      <c r="H222" s="289" t="s">
        <v>171</v>
      </c>
      <c r="I222" s="289" t="s">
        <v>588</v>
      </c>
      <c r="J222" s="290"/>
      <c r="K222" s="40"/>
      <c r="O222" s="351"/>
      <c r="P222" s="267">
        <f t="shared" si="2"/>
        <v>0</v>
      </c>
      <c r="W222"/>
      <c r="X222"/>
    </row>
    <row r="223" spans="1:24" ht="15.75" customHeight="1" x14ac:dyDescent="0.25">
      <c r="A223" s="612"/>
      <c r="B223" s="587"/>
      <c r="C223" s="533"/>
      <c r="D223" s="268" t="s">
        <v>589</v>
      </c>
      <c r="E223" s="402" t="s">
        <v>590</v>
      </c>
      <c r="F223" s="343"/>
      <c r="G223" s="343">
        <v>0</v>
      </c>
      <c r="H223" s="289" t="s">
        <v>477</v>
      </c>
      <c r="I223" s="289" t="s">
        <v>591</v>
      </c>
      <c r="J223" s="290"/>
      <c r="K223" s="40"/>
      <c r="O223" s="351"/>
      <c r="P223" s="267">
        <f t="shared" si="2"/>
        <v>0</v>
      </c>
      <c r="W223"/>
      <c r="X223"/>
    </row>
    <row r="224" spans="1:24" ht="15.75" customHeight="1" x14ac:dyDescent="0.25">
      <c r="A224" s="612"/>
      <c r="B224" s="587"/>
      <c r="C224" s="533"/>
      <c r="D224" s="269" t="s">
        <v>215</v>
      </c>
      <c r="E224" s="311" t="s">
        <v>1167</v>
      </c>
      <c r="F224" s="360">
        <f>F221</f>
        <v>0</v>
      </c>
      <c r="G224" s="360">
        <v>0</v>
      </c>
      <c r="H224" s="289" t="s">
        <v>276</v>
      </c>
      <c r="I224" s="40"/>
      <c r="J224" s="290" t="s">
        <v>592</v>
      </c>
      <c r="K224" s="40"/>
      <c r="O224" s="351"/>
      <c r="P224" s="267">
        <f t="shared" si="2"/>
        <v>0</v>
      </c>
      <c r="W224"/>
      <c r="X224"/>
    </row>
    <row r="225" spans="1:24" ht="15.75" customHeight="1" x14ac:dyDescent="0.25">
      <c r="A225" s="612"/>
      <c r="B225" s="587"/>
      <c r="C225" s="533"/>
      <c r="D225" s="269" t="s">
        <v>215</v>
      </c>
      <c r="E225" s="295" t="s">
        <v>593</v>
      </c>
      <c r="F225" s="359">
        <f>F221*10</f>
        <v>0</v>
      </c>
      <c r="G225" s="359">
        <v>0</v>
      </c>
      <c r="H225" s="289" t="s">
        <v>276</v>
      </c>
      <c r="I225" s="289" t="s">
        <v>594</v>
      </c>
      <c r="J225" s="290"/>
      <c r="K225" s="40"/>
      <c r="O225" s="351"/>
      <c r="P225" s="267">
        <f t="shared" si="2"/>
        <v>0</v>
      </c>
      <c r="W225"/>
      <c r="X225"/>
    </row>
    <row r="226" spans="1:24" ht="15.75" customHeight="1" thickBot="1" x14ac:dyDescent="0.3">
      <c r="A226" s="612"/>
      <c r="B226" s="587"/>
      <c r="C226" s="532"/>
      <c r="D226" s="156" t="s">
        <v>213</v>
      </c>
      <c r="E226" s="300" t="s">
        <v>595</v>
      </c>
      <c r="F226" s="357"/>
      <c r="G226" s="357">
        <v>0</v>
      </c>
      <c r="H226" s="285" t="s">
        <v>158</v>
      </c>
      <c r="I226" s="292" t="s">
        <v>596</v>
      </c>
      <c r="J226" s="286" t="s">
        <v>597</v>
      </c>
      <c r="K226" s="40"/>
      <c r="L226" s="40">
        <v>1</v>
      </c>
      <c r="M226" s="40"/>
      <c r="N226" s="40"/>
      <c r="O226" s="351"/>
      <c r="P226" s="267"/>
      <c r="Q226" s="40"/>
      <c r="R226" s="40"/>
      <c r="S226" s="40"/>
      <c r="T226" s="40"/>
      <c r="U226" s="40"/>
      <c r="V226" s="40"/>
      <c r="W226"/>
      <c r="X226"/>
    </row>
    <row r="227" spans="1:24" ht="15.75" customHeight="1" x14ac:dyDescent="0.25">
      <c r="A227" s="612"/>
      <c r="B227" s="587"/>
      <c r="C227" s="547" t="s">
        <v>598</v>
      </c>
      <c r="D227" s="129" t="s">
        <v>207</v>
      </c>
      <c r="E227" s="157" t="s">
        <v>599</v>
      </c>
      <c r="F227" s="117"/>
      <c r="G227" s="117">
        <v>0</v>
      </c>
      <c r="H227" s="101" t="s">
        <v>276</v>
      </c>
      <c r="I227" s="101" t="s">
        <v>600</v>
      </c>
      <c r="J227" s="119"/>
      <c r="K227" s="40"/>
      <c r="O227" s="351"/>
      <c r="P227" s="267">
        <f t="shared" si="2"/>
        <v>0</v>
      </c>
      <c r="W227"/>
      <c r="X227"/>
    </row>
    <row r="228" spans="1:24" ht="15.75" customHeight="1" x14ac:dyDescent="0.25">
      <c r="A228" s="612"/>
      <c r="B228" s="587"/>
      <c r="C228" s="555"/>
      <c r="D228" s="266" t="s">
        <v>207</v>
      </c>
      <c r="E228" s="311" t="s">
        <v>601</v>
      </c>
      <c r="F228" s="343"/>
      <c r="G228" s="343">
        <v>0</v>
      </c>
      <c r="H228" s="289" t="s">
        <v>276</v>
      </c>
      <c r="I228" s="289" t="s">
        <v>600</v>
      </c>
      <c r="J228" s="290"/>
      <c r="K228" s="40"/>
      <c r="O228" s="351"/>
      <c r="P228" s="267"/>
      <c r="W228"/>
      <c r="X228"/>
    </row>
    <row r="229" spans="1:24" ht="15.75" customHeight="1" x14ac:dyDescent="0.25">
      <c r="A229" s="612"/>
      <c r="B229" s="587"/>
      <c r="C229" s="533"/>
      <c r="D229" s="97" t="s">
        <v>207</v>
      </c>
      <c r="E229" s="106" t="s">
        <v>602</v>
      </c>
      <c r="F229" s="85"/>
      <c r="G229" s="343">
        <v>0</v>
      </c>
      <c r="H229" s="56" t="s">
        <v>276</v>
      </c>
      <c r="I229" s="56" t="s">
        <v>603</v>
      </c>
      <c r="J229" s="57"/>
      <c r="K229" s="40"/>
      <c r="O229" s="351"/>
      <c r="P229" s="267">
        <f t="shared" si="2"/>
        <v>0</v>
      </c>
      <c r="W229"/>
      <c r="X229"/>
    </row>
    <row r="230" spans="1:24" ht="15.75" customHeight="1" x14ac:dyDescent="0.25">
      <c r="A230" s="612"/>
      <c r="B230" s="587"/>
      <c r="C230" s="533"/>
      <c r="D230" s="97" t="s">
        <v>207</v>
      </c>
      <c r="E230" s="106" t="s">
        <v>604</v>
      </c>
      <c r="F230" s="85"/>
      <c r="G230" s="343">
        <v>0</v>
      </c>
      <c r="H230" s="56" t="s">
        <v>276</v>
      </c>
      <c r="I230" s="56" t="s">
        <v>603</v>
      </c>
      <c r="J230" s="57"/>
      <c r="K230" s="40"/>
      <c r="O230" s="351"/>
      <c r="P230" s="267"/>
      <c r="W230"/>
      <c r="X230"/>
    </row>
    <row r="231" spans="1:24" ht="15.75" customHeight="1" x14ac:dyDescent="0.25">
      <c r="A231" s="612"/>
      <c r="B231" s="587"/>
      <c r="C231" s="533"/>
      <c r="D231" s="97" t="s">
        <v>207</v>
      </c>
      <c r="E231" s="158" t="s">
        <v>605</v>
      </c>
      <c r="F231" s="85"/>
      <c r="G231" s="85">
        <v>0</v>
      </c>
      <c r="H231" s="56" t="s">
        <v>276</v>
      </c>
      <c r="I231" s="56" t="s">
        <v>606</v>
      </c>
      <c r="J231" s="57"/>
      <c r="K231" s="40"/>
      <c r="O231" s="351"/>
      <c r="P231" s="267">
        <f t="shared" si="2"/>
        <v>0</v>
      </c>
      <c r="W231"/>
      <c r="X231"/>
    </row>
    <row r="232" spans="1:24" ht="15.75" customHeight="1" x14ac:dyDescent="0.25">
      <c r="A232" s="612"/>
      <c r="B232" s="587"/>
      <c r="C232" s="533"/>
      <c r="D232" s="97" t="s">
        <v>207</v>
      </c>
      <c r="E232" s="159" t="s">
        <v>607</v>
      </c>
      <c r="F232" s="85"/>
      <c r="G232" s="85">
        <v>0</v>
      </c>
      <c r="H232" s="56"/>
      <c r="I232" s="56" t="s">
        <v>606</v>
      </c>
      <c r="J232" s="57" t="s">
        <v>608</v>
      </c>
      <c r="K232" s="40"/>
      <c r="O232" s="351"/>
      <c r="P232" s="267">
        <f t="shared" si="2"/>
        <v>0</v>
      </c>
      <c r="W232"/>
      <c r="X232"/>
    </row>
    <row r="233" spans="1:24" ht="15.75" customHeight="1" x14ac:dyDescent="0.25">
      <c r="A233" s="612"/>
      <c r="B233" s="587"/>
      <c r="C233" s="533"/>
      <c r="D233" s="155" t="s">
        <v>586</v>
      </c>
      <c r="E233" s="160" t="s">
        <v>1168</v>
      </c>
      <c r="F233" s="85"/>
      <c r="G233" s="85">
        <v>0</v>
      </c>
      <c r="H233" s="56" t="s">
        <v>276</v>
      </c>
      <c r="I233" s="56" t="s">
        <v>609</v>
      </c>
      <c r="J233" s="57"/>
      <c r="K233" s="40"/>
      <c r="O233" s="351"/>
      <c r="P233" s="267"/>
      <c r="W233"/>
      <c r="X233"/>
    </row>
    <row r="234" spans="1:24" ht="15.75" customHeight="1" x14ac:dyDescent="0.25">
      <c r="A234" s="612"/>
      <c r="B234" s="587"/>
      <c r="C234" s="533"/>
      <c r="D234" s="155" t="s">
        <v>586</v>
      </c>
      <c r="E234" s="160" t="s">
        <v>1168</v>
      </c>
      <c r="F234" s="85"/>
      <c r="G234" s="85">
        <v>0</v>
      </c>
      <c r="H234" s="56" t="s">
        <v>276</v>
      </c>
      <c r="I234" s="56" t="s">
        <v>609</v>
      </c>
      <c r="J234" s="57"/>
      <c r="K234" s="40"/>
      <c r="O234" s="351"/>
      <c r="P234" s="267"/>
      <c r="W234"/>
      <c r="X234"/>
    </row>
    <row r="235" spans="1:24" ht="15.75" customHeight="1" x14ac:dyDescent="0.25">
      <c r="A235" s="612"/>
      <c r="B235" s="587"/>
      <c r="C235" s="533"/>
      <c r="D235" s="269" t="s">
        <v>215</v>
      </c>
      <c r="E235" s="295" t="s">
        <v>1169</v>
      </c>
      <c r="F235" s="359">
        <f>(F233+F234)*10</f>
        <v>0</v>
      </c>
      <c r="G235" s="359">
        <v>0</v>
      </c>
      <c r="H235" s="289" t="s">
        <v>276</v>
      </c>
      <c r="I235" s="289" t="s">
        <v>610</v>
      </c>
      <c r="J235" s="290"/>
      <c r="K235" s="40"/>
      <c r="O235" s="351"/>
      <c r="P235" s="267"/>
      <c r="W235"/>
      <c r="X235"/>
    </row>
    <row r="236" spans="1:24" ht="15.75" customHeight="1" x14ac:dyDescent="0.25">
      <c r="A236" s="612"/>
      <c r="B236" s="587"/>
      <c r="C236" s="533"/>
      <c r="D236" s="334" t="s">
        <v>421</v>
      </c>
      <c r="E236" s="311" t="s">
        <v>583</v>
      </c>
      <c r="F236" s="359">
        <f>(F227+F228+F229+F231+F232+F230)*20</f>
        <v>0</v>
      </c>
      <c r="G236" s="359">
        <v>0</v>
      </c>
      <c r="H236" s="289" t="s">
        <v>276</v>
      </c>
      <c r="I236" s="289" t="s">
        <v>611</v>
      </c>
      <c r="J236" s="289"/>
      <c r="K236" s="40"/>
      <c r="O236" s="351"/>
      <c r="P236" s="267">
        <f t="shared" si="2"/>
        <v>0</v>
      </c>
      <c r="W236"/>
      <c r="X236"/>
    </row>
    <row r="237" spans="1:24" ht="15.75" customHeight="1" thickBot="1" x14ac:dyDescent="0.3">
      <c r="A237" s="612"/>
      <c r="B237" s="587"/>
      <c r="C237" s="532"/>
      <c r="D237" s="161" t="s">
        <v>215</v>
      </c>
      <c r="E237" s="134" t="s">
        <v>612</v>
      </c>
      <c r="F237" s="162">
        <f>F232*40</f>
        <v>0</v>
      </c>
      <c r="G237" s="162">
        <v>0</v>
      </c>
      <c r="H237" s="126"/>
      <c r="I237" s="126"/>
      <c r="J237" s="163"/>
      <c r="K237" s="40"/>
      <c r="O237" s="351"/>
      <c r="P237" s="267">
        <f t="shared" ref="P237:P311" si="3">O237*F237</f>
        <v>0</v>
      </c>
      <c r="W237"/>
      <c r="X237"/>
    </row>
    <row r="238" spans="1:24" ht="15.75" customHeight="1" x14ac:dyDescent="0.25">
      <c r="A238" s="612"/>
      <c r="B238" s="587"/>
      <c r="C238" s="529" t="s">
        <v>613</v>
      </c>
      <c r="D238" s="281" t="s">
        <v>207</v>
      </c>
      <c r="E238" s="287" t="s">
        <v>614</v>
      </c>
      <c r="F238" s="342"/>
      <c r="G238" s="342">
        <v>0</v>
      </c>
      <c r="H238" s="287" t="s">
        <v>276</v>
      </c>
      <c r="I238" s="287" t="s">
        <v>575</v>
      </c>
      <c r="J238" s="354"/>
      <c r="K238" s="40"/>
      <c r="O238" s="351">
        <v>8.5</v>
      </c>
      <c r="P238" s="267">
        <f t="shared" si="3"/>
        <v>0</v>
      </c>
      <c r="W238"/>
      <c r="X238"/>
    </row>
    <row r="239" spans="1:24" ht="15.75" customHeight="1" x14ac:dyDescent="0.25">
      <c r="A239" s="612"/>
      <c r="B239" s="587"/>
      <c r="C239" s="533"/>
      <c r="D239" s="110" t="s">
        <v>421</v>
      </c>
      <c r="E239" s="95" t="s">
        <v>583</v>
      </c>
      <c r="F239" s="359">
        <f>F238*22</f>
        <v>0</v>
      </c>
      <c r="G239" s="359">
        <v>0</v>
      </c>
      <c r="H239" s="289" t="s">
        <v>276</v>
      </c>
      <c r="I239" s="289"/>
      <c r="J239" s="355" t="s">
        <v>615</v>
      </c>
      <c r="K239" s="40"/>
      <c r="O239" s="351"/>
      <c r="P239" s="267">
        <f t="shared" si="3"/>
        <v>0</v>
      </c>
      <c r="W239"/>
      <c r="X239"/>
    </row>
    <row r="240" spans="1:24" ht="15.75" customHeight="1" x14ac:dyDescent="0.25">
      <c r="A240" s="612"/>
      <c r="B240" s="587"/>
      <c r="C240" s="533"/>
      <c r="D240" s="266" t="s">
        <v>207</v>
      </c>
      <c r="E240" s="289" t="s">
        <v>616</v>
      </c>
      <c r="F240" s="343"/>
      <c r="G240" s="343">
        <v>0</v>
      </c>
      <c r="H240" s="289" t="s">
        <v>276</v>
      </c>
      <c r="I240" s="289" t="s">
        <v>575</v>
      </c>
      <c r="J240" s="355"/>
      <c r="K240" s="40"/>
      <c r="O240" s="351">
        <v>11.65</v>
      </c>
      <c r="P240" s="267">
        <f t="shared" si="3"/>
        <v>0</v>
      </c>
      <c r="W240"/>
      <c r="X240"/>
    </row>
    <row r="241" spans="1:24" ht="15.75" customHeight="1" thickBot="1" x14ac:dyDescent="0.3">
      <c r="A241" s="612"/>
      <c r="B241" s="587"/>
      <c r="C241" s="533"/>
      <c r="D241" s="110" t="s">
        <v>421</v>
      </c>
      <c r="E241" s="95" t="s">
        <v>583</v>
      </c>
      <c r="F241" s="96">
        <f>F240*22</f>
        <v>0</v>
      </c>
      <c r="G241" s="96">
        <v>0</v>
      </c>
      <c r="H241" s="60" t="s">
        <v>276</v>
      </c>
      <c r="I241" s="60"/>
      <c r="J241" s="164" t="s">
        <v>615</v>
      </c>
      <c r="K241" s="40"/>
      <c r="O241" s="351"/>
      <c r="P241" s="267">
        <f t="shared" si="3"/>
        <v>0</v>
      </c>
      <c r="W241"/>
      <c r="X241"/>
    </row>
    <row r="242" spans="1:24" ht="15.75" customHeight="1" x14ac:dyDescent="0.25">
      <c r="A242" s="612"/>
      <c r="B242" s="587"/>
      <c r="C242" s="529" t="s">
        <v>1170</v>
      </c>
      <c r="D242" s="129" t="s">
        <v>207</v>
      </c>
      <c r="E242" s="282" t="s">
        <v>514</v>
      </c>
      <c r="F242" s="342"/>
      <c r="G242" s="342">
        <v>0</v>
      </c>
      <c r="H242" s="282" t="s">
        <v>276</v>
      </c>
      <c r="I242" s="282" t="s">
        <v>618</v>
      </c>
      <c r="J242" s="313"/>
      <c r="K242" s="165"/>
      <c r="L242" s="165"/>
      <c r="M242" s="165"/>
      <c r="O242" s="351">
        <v>2.0299999999999998</v>
      </c>
      <c r="P242" s="267">
        <f t="shared" si="3"/>
        <v>0</v>
      </c>
      <c r="W242"/>
      <c r="X242"/>
    </row>
    <row r="243" spans="1:24" ht="15.75" customHeight="1" x14ac:dyDescent="0.25">
      <c r="A243" s="612"/>
      <c r="B243" s="587"/>
      <c r="C243" s="533"/>
      <c r="D243" s="166" t="s">
        <v>207</v>
      </c>
      <c r="E243" s="75" t="s">
        <v>1163</v>
      </c>
      <c r="F243" s="167"/>
      <c r="G243" s="167">
        <v>0</v>
      </c>
      <c r="H243" s="75" t="s">
        <v>276</v>
      </c>
      <c r="I243" s="75" t="s">
        <v>618</v>
      </c>
      <c r="J243" s="316"/>
      <c r="K243" s="40"/>
      <c r="O243" s="351"/>
      <c r="P243" s="267">
        <f t="shared" si="3"/>
        <v>0</v>
      </c>
      <c r="W243"/>
      <c r="X243"/>
    </row>
    <row r="244" spans="1:24" ht="15.75" customHeight="1" x14ac:dyDescent="0.25">
      <c r="A244" s="612"/>
      <c r="B244" s="587"/>
      <c r="C244" s="533"/>
      <c r="D244" s="266" t="s">
        <v>207</v>
      </c>
      <c r="E244" s="280" t="s">
        <v>553</v>
      </c>
      <c r="F244" s="343"/>
      <c r="G244" s="343">
        <v>0</v>
      </c>
      <c r="H244" s="280" t="s">
        <v>276</v>
      </c>
      <c r="I244" s="280" t="s">
        <v>618</v>
      </c>
      <c r="J244" s="88"/>
      <c r="K244" s="40"/>
      <c r="O244" s="351"/>
      <c r="P244" s="267"/>
      <c r="W244"/>
      <c r="X244"/>
    </row>
    <row r="245" spans="1:24" ht="15.75" customHeight="1" x14ac:dyDescent="0.25">
      <c r="A245" s="612"/>
      <c r="B245" s="587"/>
      <c r="C245" s="533"/>
      <c r="D245" s="266" t="s">
        <v>207</v>
      </c>
      <c r="E245" s="280" t="s">
        <v>551</v>
      </c>
      <c r="F245" s="403"/>
      <c r="G245" s="403">
        <v>0</v>
      </c>
      <c r="H245" s="280" t="s">
        <v>276</v>
      </c>
      <c r="I245" s="280" t="s">
        <v>618</v>
      </c>
      <c r="J245" s="88"/>
      <c r="K245" s="40"/>
      <c r="O245" s="351"/>
      <c r="P245" s="267"/>
      <c r="W245"/>
      <c r="X245"/>
    </row>
    <row r="246" spans="1:24" ht="15.75" customHeight="1" x14ac:dyDescent="0.25">
      <c r="A246" s="612"/>
      <c r="B246" s="587"/>
      <c r="C246" s="533"/>
      <c r="D246" s="269" t="s">
        <v>215</v>
      </c>
      <c r="E246" s="280" t="s">
        <v>498</v>
      </c>
      <c r="F246" s="360">
        <f>(F242+F243)*10</f>
        <v>0</v>
      </c>
      <c r="G246" s="360">
        <v>0</v>
      </c>
      <c r="H246" s="280" t="s">
        <v>276</v>
      </c>
      <c r="I246" s="75" t="s">
        <v>619</v>
      </c>
      <c r="J246" s="88" t="s">
        <v>620</v>
      </c>
      <c r="K246" s="40"/>
      <c r="O246" s="351"/>
      <c r="P246" s="267"/>
      <c r="W246"/>
      <c r="X246"/>
    </row>
    <row r="247" spans="1:24" ht="15.75" customHeight="1" thickBot="1" x14ac:dyDescent="0.3">
      <c r="A247" s="612"/>
      <c r="B247" s="587"/>
      <c r="C247" s="532"/>
      <c r="D247" s="161" t="s">
        <v>215</v>
      </c>
      <c r="E247" s="136" t="s">
        <v>339</v>
      </c>
      <c r="F247" s="169">
        <f>(F244+F245)*20</f>
        <v>0</v>
      </c>
      <c r="G247" s="169">
        <v>0</v>
      </c>
      <c r="H247" s="124" t="s">
        <v>276</v>
      </c>
      <c r="I247" s="292" t="s">
        <v>619</v>
      </c>
      <c r="J247" s="314" t="s">
        <v>621</v>
      </c>
      <c r="K247" s="40"/>
      <c r="O247" s="351"/>
      <c r="P247" s="267">
        <f t="shared" si="3"/>
        <v>0</v>
      </c>
      <c r="W247"/>
      <c r="X247"/>
    </row>
    <row r="248" spans="1:24" ht="15.75" customHeight="1" x14ac:dyDescent="0.25">
      <c r="A248" s="612"/>
      <c r="B248" s="587"/>
      <c r="C248" s="529" t="s">
        <v>622</v>
      </c>
      <c r="D248" s="266" t="s">
        <v>207</v>
      </c>
      <c r="E248" s="280" t="s">
        <v>492</v>
      </c>
      <c r="F248" s="343"/>
      <c r="G248" s="343">
        <v>0</v>
      </c>
      <c r="H248" s="280" t="s">
        <v>171</v>
      </c>
      <c r="I248" s="280" t="s">
        <v>623</v>
      </c>
      <c r="J248" s="316"/>
      <c r="K248" s="40"/>
      <c r="O248" s="351"/>
      <c r="P248" s="267"/>
      <c r="W248"/>
      <c r="X248"/>
    </row>
    <row r="249" spans="1:24" ht="15.75" customHeight="1" x14ac:dyDescent="0.25">
      <c r="A249" s="612"/>
      <c r="B249" s="587"/>
      <c r="C249" s="530"/>
      <c r="D249" s="97" t="s">
        <v>207</v>
      </c>
      <c r="E249" s="145" t="s">
        <v>553</v>
      </c>
      <c r="F249" s="85"/>
      <c r="G249" s="85">
        <v>0</v>
      </c>
      <c r="H249" s="86" t="s">
        <v>171</v>
      </c>
      <c r="I249" s="86" t="s">
        <v>624</v>
      </c>
      <c r="J249" s="131"/>
      <c r="K249" s="40"/>
      <c r="O249" s="351">
        <v>6.07</v>
      </c>
      <c r="P249" s="267">
        <f t="shared" si="3"/>
        <v>0</v>
      </c>
      <c r="W249"/>
      <c r="X249"/>
    </row>
    <row r="250" spans="1:24" ht="15.75" customHeight="1" x14ac:dyDescent="0.25">
      <c r="A250" s="612"/>
      <c r="B250" s="587"/>
      <c r="C250" s="530"/>
      <c r="D250" s="97" t="s">
        <v>207</v>
      </c>
      <c r="E250" s="311" t="s">
        <v>310</v>
      </c>
      <c r="F250" s="85"/>
      <c r="G250" s="85">
        <v>0</v>
      </c>
      <c r="H250" s="86" t="s">
        <v>171</v>
      </c>
      <c r="I250" s="86" t="s">
        <v>625</v>
      </c>
      <c r="J250" s="131"/>
      <c r="K250" s="40"/>
      <c r="L250" s="40"/>
      <c r="M250" s="40"/>
      <c r="N250" s="40"/>
      <c r="O250" s="351"/>
      <c r="P250" s="267"/>
      <c r="Q250" s="40"/>
      <c r="R250" s="40"/>
      <c r="S250" s="40"/>
      <c r="T250" s="40"/>
      <c r="U250" s="40"/>
      <c r="V250" s="40"/>
      <c r="W250"/>
      <c r="X250"/>
    </row>
    <row r="251" spans="1:24" ht="15.75" customHeight="1" x14ac:dyDescent="0.25">
      <c r="A251" s="612"/>
      <c r="B251" s="587"/>
      <c r="C251" s="530"/>
      <c r="D251" s="266" t="s">
        <v>207</v>
      </c>
      <c r="E251" s="280" t="s">
        <v>626</v>
      </c>
      <c r="F251" s="343"/>
      <c r="G251" s="343">
        <v>0</v>
      </c>
      <c r="H251" s="289" t="s">
        <v>171</v>
      </c>
      <c r="I251" s="289"/>
      <c r="J251" s="290"/>
      <c r="K251" s="40"/>
      <c r="O251" s="351">
        <v>7.49</v>
      </c>
      <c r="P251" s="267">
        <f t="shared" si="3"/>
        <v>0</v>
      </c>
      <c r="W251"/>
      <c r="X251"/>
    </row>
    <row r="252" spans="1:24" ht="15.75" customHeight="1" x14ac:dyDescent="0.25">
      <c r="A252" s="612"/>
      <c r="B252" s="587"/>
      <c r="C252" s="530"/>
      <c r="D252" s="104" t="s">
        <v>215</v>
      </c>
      <c r="E252" s="295" t="s">
        <v>627</v>
      </c>
      <c r="F252" s="96">
        <f>F249*20</f>
        <v>0</v>
      </c>
      <c r="G252" s="96">
        <v>0</v>
      </c>
      <c r="H252" s="60" t="s">
        <v>276</v>
      </c>
      <c r="I252" s="60" t="s">
        <v>628</v>
      </c>
      <c r="J252" s="88"/>
      <c r="K252" s="40"/>
      <c r="O252" s="351"/>
      <c r="P252" s="267"/>
      <c r="W252"/>
      <c r="X252"/>
    </row>
    <row r="253" spans="1:24" ht="15.75" customHeight="1" thickBot="1" x14ac:dyDescent="0.3">
      <c r="A253" s="612"/>
      <c r="B253" s="587"/>
      <c r="C253" s="530"/>
      <c r="D253" s="104" t="s">
        <v>215</v>
      </c>
      <c r="E253" s="95" t="s">
        <v>339</v>
      </c>
      <c r="F253" s="96">
        <f>(F251+F250+F248)*20</f>
        <v>0</v>
      </c>
      <c r="G253" s="96">
        <v>0</v>
      </c>
      <c r="H253" s="60" t="s">
        <v>276</v>
      </c>
      <c r="I253" s="145" t="s">
        <v>629</v>
      </c>
      <c r="J253" s="73"/>
      <c r="K253" s="40"/>
      <c r="O253" s="351"/>
      <c r="P253" s="267">
        <f t="shared" si="3"/>
        <v>0</v>
      </c>
      <c r="W253"/>
      <c r="X253"/>
    </row>
    <row r="254" spans="1:24" ht="15.75" customHeight="1" x14ac:dyDescent="0.25">
      <c r="A254" s="612"/>
      <c r="B254" s="587"/>
      <c r="C254" s="547" t="s">
        <v>1171</v>
      </c>
      <c r="D254" s="129" t="s">
        <v>207</v>
      </c>
      <c r="E254" s="282" t="s">
        <v>499</v>
      </c>
      <c r="F254" s="117"/>
      <c r="G254" s="117">
        <v>0</v>
      </c>
      <c r="H254" s="101" t="s">
        <v>276</v>
      </c>
      <c r="I254" s="101"/>
      <c r="J254" s="119"/>
      <c r="K254" s="40"/>
      <c r="O254" s="351"/>
      <c r="P254" s="267">
        <f t="shared" si="3"/>
        <v>0</v>
      </c>
      <c r="W254"/>
      <c r="X254"/>
    </row>
    <row r="255" spans="1:24" ht="15.75" customHeight="1" x14ac:dyDescent="0.25">
      <c r="A255" s="612"/>
      <c r="B255" s="587"/>
      <c r="C255" s="620"/>
      <c r="D255" s="269" t="s">
        <v>215</v>
      </c>
      <c r="E255" s="280" t="s">
        <v>498</v>
      </c>
      <c r="F255" s="375">
        <f>F254*24</f>
        <v>0</v>
      </c>
      <c r="G255" s="375">
        <v>0</v>
      </c>
      <c r="H255" s="289" t="s">
        <v>276</v>
      </c>
      <c r="I255" s="280"/>
      <c r="J255" s="290"/>
      <c r="K255" s="40"/>
      <c r="O255" s="351"/>
      <c r="P255" s="267">
        <f t="shared" si="3"/>
        <v>0</v>
      </c>
      <c r="W255"/>
      <c r="X255"/>
    </row>
    <row r="256" spans="1:24" ht="15.75" customHeight="1" x14ac:dyDescent="0.25">
      <c r="A256" s="612"/>
      <c r="B256" s="587"/>
      <c r="C256" s="620"/>
      <c r="D256" s="97" t="s">
        <v>207</v>
      </c>
      <c r="E256" s="98" t="s">
        <v>630</v>
      </c>
      <c r="F256" s="85"/>
      <c r="G256" s="85">
        <v>0</v>
      </c>
      <c r="H256" s="56" t="s">
        <v>276</v>
      </c>
      <c r="I256" s="56" t="s">
        <v>631</v>
      </c>
      <c r="J256" s="57"/>
      <c r="K256" s="40"/>
      <c r="O256" s="351">
        <v>5.37</v>
      </c>
      <c r="P256" s="267">
        <f t="shared" si="3"/>
        <v>0</v>
      </c>
      <c r="W256"/>
      <c r="X256"/>
    </row>
    <row r="257" spans="1:24" ht="15.75" customHeight="1" x14ac:dyDescent="0.25">
      <c r="A257" s="612"/>
      <c r="B257" s="587"/>
      <c r="C257" s="620"/>
      <c r="D257" s="166" t="s">
        <v>207</v>
      </c>
      <c r="E257" s="95" t="s">
        <v>630</v>
      </c>
      <c r="F257" s="102"/>
      <c r="G257" s="102">
        <v>0</v>
      </c>
      <c r="H257" s="60" t="s">
        <v>276</v>
      </c>
      <c r="I257" s="56" t="s">
        <v>631</v>
      </c>
      <c r="J257" s="73"/>
      <c r="K257" s="40"/>
      <c r="O257" s="351"/>
      <c r="P257" s="267">
        <f t="shared" si="3"/>
        <v>0</v>
      </c>
      <c r="W257"/>
      <c r="X257"/>
    </row>
    <row r="258" spans="1:24" ht="15.75" customHeight="1" thickBot="1" x14ac:dyDescent="0.3">
      <c r="A258" s="612"/>
      <c r="B258" s="587"/>
      <c r="C258" s="621"/>
      <c r="D258" s="283" t="s">
        <v>215</v>
      </c>
      <c r="E258" s="308" t="s">
        <v>516</v>
      </c>
      <c r="F258" s="377">
        <f>(F257+F256)*20</f>
        <v>0</v>
      </c>
      <c r="G258" s="377">
        <v>0</v>
      </c>
      <c r="H258" s="285" t="s">
        <v>276</v>
      </c>
      <c r="I258" s="285" t="s">
        <v>632</v>
      </c>
      <c r="J258" s="286"/>
      <c r="K258" s="40"/>
      <c r="O258" s="351"/>
      <c r="P258" s="267">
        <f t="shared" si="3"/>
        <v>0</v>
      </c>
      <c r="W258"/>
      <c r="X258"/>
    </row>
    <row r="259" spans="1:24" ht="15.75" customHeight="1" x14ac:dyDescent="0.25">
      <c r="A259" s="612"/>
      <c r="B259" s="587"/>
      <c r="C259" s="529" t="s">
        <v>633</v>
      </c>
      <c r="D259" s="310" t="s">
        <v>205</v>
      </c>
      <c r="E259" s="323" t="s">
        <v>634</v>
      </c>
      <c r="F259" s="342"/>
      <c r="G259" s="342">
        <v>0</v>
      </c>
      <c r="H259" s="287" t="s">
        <v>394</v>
      </c>
      <c r="I259" s="287" t="s">
        <v>635</v>
      </c>
      <c r="J259" s="288"/>
      <c r="K259" s="40"/>
      <c r="O259" s="351">
        <v>9</v>
      </c>
      <c r="P259" s="267">
        <f t="shared" si="3"/>
        <v>0</v>
      </c>
      <c r="W259"/>
      <c r="X259"/>
    </row>
    <row r="260" spans="1:24" ht="15.75" customHeight="1" x14ac:dyDescent="0.25">
      <c r="A260" s="612"/>
      <c r="B260" s="587"/>
      <c r="C260" s="533"/>
      <c r="D260" s="132" t="s">
        <v>290</v>
      </c>
      <c r="E260" s="60" t="s">
        <v>542</v>
      </c>
      <c r="F260" s="102"/>
      <c r="G260" s="102">
        <v>0</v>
      </c>
      <c r="H260" s="280" t="s">
        <v>543</v>
      </c>
      <c r="I260" s="60" t="s">
        <v>636</v>
      </c>
      <c r="J260" s="73"/>
      <c r="K260" s="40"/>
      <c r="O260" s="351"/>
      <c r="P260" s="267"/>
      <c r="W260"/>
      <c r="X260"/>
    </row>
    <row r="261" spans="1:24" ht="14.25" customHeight="1" x14ac:dyDescent="0.25">
      <c r="A261" s="612"/>
      <c r="B261" s="587"/>
      <c r="C261" s="533"/>
      <c r="D261" s="269" t="s">
        <v>215</v>
      </c>
      <c r="E261" s="311" t="s">
        <v>516</v>
      </c>
      <c r="F261" s="359">
        <f>(F259+F262)*100</f>
        <v>0</v>
      </c>
      <c r="G261" s="359">
        <v>0</v>
      </c>
      <c r="H261" s="289" t="s">
        <v>276</v>
      </c>
      <c r="I261" s="289" t="s">
        <v>637</v>
      </c>
      <c r="J261" s="290"/>
      <c r="K261" s="40"/>
      <c r="O261" s="351"/>
      <c r="P261" s="267">
        <f t="shared" si="3"/>
        <v>0</v>
      </c>
      <c r="W261"/>
      <c r="X261"/>
    </row>
    <row r="262" spans="1:24" ht="15.75" customHeight="1" thickBot="1" x14ac:dyDescent="0.3">
      <c r="A262" s="612"/>
      <c r="B262" s="587"/>
      <c r="C262" s="532"/>
      <c r="D262" s="307" t="s">
        <v>205</v>
      </c>
      <c r="E262" s="308" t="s">
        <v>638</v>
      </c>
      <c r="F262" s="357"/>
      <c r="G262" s="357">
        <v>0</v>
      </c>
      <c r="H262" s="285" t="s">
        <v>394</v>
      </c>
      <c r="I262" s="285" t="s">
        <v>635</v>
      </c>
      <c r="J262" s="286"/>
      <c r="K262" s="40"/>
      <c r="O262" s="351">
        <v>18</v>
      </c>
      <c r="P262" s="267">
        <f t="shared" si="3"/>
        <v>0</v>
      </c>
      <c r="W262"/>
      <c r="X262"/>
    </row>
    <row r="263" spans="1:24" ht="15.75" customHeight="1" x14ac:dyDescent="0.25">
      <c r="A263" s="612"/>
      <c r="B263" s="587"/>
      <c r="C263" s="530" t="s">
        <v>639</v>
      </c>
      <c r="D263" s="170" t="s">
        <v>205</v>
      </c>
      <c r="E263" s="56" t="s">
        <v>640</v>
      </c>
      <c r="F263" s="85"/>
      <c r="G263" s="85">
        <v>0</v>
      </c>
      <c r="H263" s="56" t="s">
        <v>394</v>
      </c>
      <c r="I263" s="56" t="s">
        <v>641</v>
      </c>
      <c r="J263" s="57"/>
      <c r="K263" s="40"/>
      <c r="O263" s="351">
        <v>20.399999999999999</v>
      </c>
      <c r="P263" s="267">
        <f t="shared" si="3"/>
        <v>0</v>
      </c>
      <c r="W263"/>
      <c r="X263"/>
    </row>
    <row r="264" spans="1:24" ht="15.75" customHeight="1" x14ac:dyDescent="0.25">
      <c r="A264" s="612"/>
      <c r="B264" s="587"/>
      <c r="C264" s="533"/>
      <c r="D264" s="269" t="s">
        <v>215</v>
      </c>
      <c r="E264" s="311" t="s">
        <v>642</v>
      </c>
      <c r="F264" s="359">
        <f>F263*100</f>
        <v>0</v>
      </c>
      <c r="G264" s="359">
        <v>0</v>
      </c>
      <c r="H264" s="289" t="s">
        <v>276</v>
      </c>
      <c r="I264" s="289"/>
      <c r="J264" s="290"/>
      <c r="K264" s="40"/>
      <c r="O264" s="351"/>
      <c r="P264" s="267">
        <f t="shared" si="3"/>
        <v>0</v>
      </c>
      <c r="W264"/>
      <c r="X264"/>
    </row>
    <row r="265" spans="1:24" ht="15.75" customHeight="1" x14ac:dyDescent="0.25">
      <c r="A265" s="612"/>
      <c r="B265" s="587"/>
      <c r="C265" s="533"/>
      <c r="D265" s="132" t="s">
        <v>290</v>
      </c>
      <c r="E265" s="60" t="s">
        <v>542</v>
      </c>
      <c r="F265" s="90">
        <v>2</v>
      </c>
      <c r="G265" s="90">
        <v>0</v>
      </c>
      <c r="H265" s="280" t="s">
        <v>543</v>
      </c>
      <c r="I265" s="60" t="s">
        <v>643</v>
      </c>
      <c r="J265" s="73"/>
      <c r="K265" s="40"/>
      <c r="O265" s="351"/>
      <c r="P265" s="267">
        <f t="shared" si="3"/>
        <v>0</v>
      </c>
      <c r="W265"/>
      <c r="X265"/>
    </row>
    <row r="266" spans="1:24" ht="15.75" customHeight="1" thickBot="1" x14ac:dyDescent="0.3">
      <c r="A266" s="612"/>
      <c r="B266" s="587"/>
      <c r="C266" s="532"/>
      <c r="D266" s="299" t="s">
        <v>213</v>
      </c>
      <c r="E266" s="295" t="s">
        <v>511</v>
      </c>
      <c r="F266" s="357"/>
      <c r="G266" s="357">
        <v>0</v>
      </c>
      <c r="H266" s="285" t="s">
        <v>237</v>
      </c>
      <c r="I266" s="285"/>
      <c r="J266" s="286">
        <v>25</v>
      </c>
      <c r="K266" s="40"/>
      <c r="O266" s="351"/>
      <c r="P266" s="267">
        <f t="shared" si="3"/>
        <v>0</v>
      </c>
      <c r="W266"/>
      <c r="X266"/>
    </row>
    <row r="267" spans="1:24" ht="15.75" customHeight="1" x14ac:dyDescent="0.25">
      <c r="A267" s="612"/>
      <c r="B267" s="587"/>
      <c r="C267" s="529" t="s">
        <v>644</v>
      </c>
      <c r="D267" s="310" t="s">
        <v>205</v>
      </c>
      <c r="E267" s="323" t="s">
        <v>645</v>
      </c>
      <c r="F267" s="342"/>
      <c r="G267" s="342">
        <v>0</v>
      </c>
      <c r="H267" s="287" t="s">
        <v>394</v>
      </c>
      <c r="I267" s="287" t="s">
        <v>646</v>
      </c>
      <c r="J267" s="288"/>
      <c r="K267" s="40"/>
      <c r="O267" s="351">
        <v>18</v>
      </c>
      <c r="P267" s="267">
        <f t="shared" si="3"/>
        <v>0</v>
      </c>
      <c r="W267"/>
      <c r="X267"/>
    </row>
    <row r="268" spans="1:24" ht="15.75" customHeight="1" x14ac:dyDescent="0.25">
      <c r="A268" s="612"/>
      <c r="B268" s="587"/>
      <c r="C268" s="533"/>
      <c r="D268" s="269" t="s">
        <v>215</v>
      </c>
      <c r="E268" s="311" t="s">
        <v>647</v>
      </c>
      <c r="F268" s="359">
        <f>F267*100</f>
        <v>0</v>
      </c>
      <c r="G268" s="359">
        <v>0</v>
      </c>
      <c r="H268" s="289" t="s">
        <v>276</v>
      </c>
      <c r="I268" s="289" t="s">
        <v>648</v>
      </c>
      <c r="J268" s="290"/>
      <c r="K268" s="40"/>
      <c r="O268" s="351"/>
      <c r="P268" s="267">
        <f t="shared" si="3"/>
        <v>0</v>
      </c>
      <c r="W268"/>
      <c r="X268"/>
    </row>
    <row r="269" spans="1:24" ht="15.75" customHeight="1" thickBot="1" x14ac:dyDescent="0.3">
      <c r="A269" s="612"/>
      <c r="B269" s="587"/>
      <c r="C269" s="532"/>
      <c r="D269" s="132" t="s">
        <v>290</v>
      </c>
      <c r="E269" s="311" t="s">
        <v>542</v>
      </c>
      <c r="F269" s="357"/>
      <c r="G269" s="357">
        <v>0</v>
      </c>
      <c r="H269" s="280" t="s">
        <v>543</v>
      </c>
      <c r="I269" s="285" t="s">
        <v>649</v>
      </c>
      <c r="J269" s="286"/>
      <c r="K269" s="40"/>
      <c r="O269" s="351"/>
      <c r="P269" s="267">
        <f t="shared" si="3"/>
        <v>0</v>
      </c>
      <c r="W269"/>
      <c r="X269"/>
    </row>
    <row r="270" spans="1:24" ht="15.75" customHeight="1" x14ac:dyDescent="0.25">
      <c r="A270" s="612"/>
      <c r="B270" s="587"/>
      <c r="C270" s="529" t="s">
        <v>650</v>
      </c>
      <c r="D270" s="310" t="s">
        <v>205</v>
      </c>
      <c r="E270" s="323" t="s">
        <v>651</v>
      </c>
      <c r="F270" s="342"/>
      <c r="G270" s="342">
        <v>0</v>
      </c>
      <c r="H270" s="287" t="s">
        <v>394</v>
      </c>
      <c r="I270" s="289" t="s">
        <v>652</v>
      </c>
      <c r="J270" s="288"/>
      <c r="K270" s="40"/>
      <c r="O270" s="351">
        <v>18.28</v>
      </c>
      <c r="P270" s="267">
        <f t="shared" si="3"/>
        <v>0</v>
      </c>
      <c r="W270"/>
      <c r="X270"/>
    </row>
    <row r="271" spans="1:24" ht="15.75" customHeight="1" x14ac:dyDescent="0.25">
      <c r="A271" s="612"/>
      <c r="B271" s="587"/>
      <c r="C271" s="533"/>
      <c r="D271" s="265" t="s">
        <v>205</v>
      </c>
      <c r="E271" s="289" t="s">
        <v>653</v>
      </c>
      <c r="F271" s="343"/>
      <c r="G271" s="343">
        <v>0</v>
      </c>
      <c r="H271" s="289" t="s">
        <v>394</v>
      </c>
      <c r="I271" s="289" t="s">
        <v>652</v>
      </c>
      <c r="J271" s="290"/>
      <c r="K271" s="40"/>
      <c r="O271" s="351">
        <v>24.38</v>
      </c>
      <c r="P271" s="267">
        <f t="shared" si="3"/>
        <v>0</v>
      </c>
      <c r="W271"/>
      <c r="X271"/>
    </row>
    <row r="272" spans="1:24" ht="15.75" customHeight="1" thickBot="1" x14ac:dyDescent="0.3">
      <c r="A272" s="612"/>
      <c r="B272" s="587"/>
      <c r="C272" s="533"/>
      <c r="D272" s="269" t="s">
        <v>215</v>
      </c>
      <c r="E272" s="311" t="s">
        <v>516</v>
      </c>
      <c r="F272" s="359">
        <f>(F270+F271)*66</f>
        <v>0</v>
      </c>
      <c r="G272" s="359">
        <v>0</v>
      </c>
      <c r="H272" s="289" t="s">
        <v>276</v>
      </c>
      <c r="I272" s="289"/>
      <c r="J272" s="290" t="s">
        <v>654</v>
      </c>
      <c r="K272" s="40"/>
      <c r="O272" s="351"/>
      <c r="P272" s="267">
        <f t="shared" si="3"/>
        <v>0</v>
      </c>
      <c r="W272"/>
      <c r="X272"/>
    </row>
    <row r="273" spans="1:24" ht="15.75" customHeight="1" x14ac:dyDescent="0.25">
      <c r="A273" s="612"/>
      <c r="B273" s="587"/>
      <c r="C273" s="529" t="s">
        <v>655</v>
      </c>
      <c r="D273" s="310" t="s">
        <v>205</v>
      </c>
      <c r="E273" s="287" t="s">
        <v>656</v>
      </c>
      <c r="F273" s="342"/>
      <c r="G273" s="342">
        <v>0</v>
      </c>
      <c r="H273" s="287" t="s">
        <v>394</v>
      </c>
      <c r="I273" s="287" t="s">
        <v>657</v>
      </c>
      <c r="J273" s="288"/>
      <c r="K273" s="40"/>
      <c r="O273" s="351">
        <v>25.05</v>
      </c>
      <c r="P273" s="267">
        <f t="shared" si="3"/>
        <v>0</v>
      </c>
      <c r="W273"/>
      <c r="X273"/>
    </row>
    <row r="274" spans="1:24" ht="15.75" customHeight="1" x14ac:dyDescent="0.25">
      <c r="A274" s="612"/>
      <c r="B274" s="587"/>
      <c r="C274" s="533"/>
      <c r="D274" s="265" t="s">
        <v>205</v>
      </c>
      <c r="E274" s="289" t="s">
        <v>658</v>
      </c>
      <c r="F274" s="343"/>
      <c r="G274" s="343">
        <v>0</v>
      </c>
      <c r="H274" s="289" t="s">
        <v>394</v>
      </c>
      <c r="I274" s="289" t="s">
        <v>641</v>
      </c>
      <c r="J274" s="290"/>
      <c r="K274" s="40"/>
      <c r="O274" s="351">
        <v>18.754000000000001</v>
      </c>
      <c r="P274" s="267">
        <f t="shared" si="3"/>
        <v>0</v>
      </c>
      <c r="W274"/>
      <c r="X274"/>
    </row>
    <row r="275" spans="1:24" ht="15.75" customHeight="1" x14ac:dyDescent="0.25">
      <c r="A275" s="612"/>
      <c r="B275" s="587"/>
      <c r="C275" s="533"/>
      <c r="D275" s="265" t="s">
        <v>205</v>
      </c>
      <c r="E275" s="289" t="s">
        <v>659</v>
      </c>
      <c r="F275" s="343"/>
      <c r="G275" s="343">
        <v>0</v>
      </c>
      <c r="H275" s="289" t="s">
        <v>394</v>
      </c>
      <c r="I275" s="289" t="s">
        <v>641</v>
      </c>
      <c r="J275" s="290"/>
      <c r="K275" s="40"/>
      <c r="O275" s="351">
        <v>17.5</v>
      </c>
      <c r="P275" s="267">
        <f t="shared" si="3"/>
        <v>0</v>
      </c>
      <c r="W275"/>
      <c r="X275"/>
    </row>
    <row r="276" spans="1:24" ht="15.75" customHeight="1" thickBot="1" x14ac:dyDescent="0.3">
      <c r="A276" s="612"/>
      <c r="B276" s="587"/>
      <c r="C276" s="532"/>
      <c r="D276" s="283" t="s">
        <v>215</v>
      </c>
      <c r="E276" s="308" t="s">
        <v>660</v>
      </c>
      <c r="F276" s="353">
        <f>(F273+F274+F275)*66</f>
        <v>0</v>
      </c>
      <c r="G276" s="353">
        <v>0</v>
      </c>
      <c r="H276" s="285" t="s">
        <v>276</v>
      </c>
      <c r="I276" s="285" t="s">
        <v>661</v>
      </c>
      <c r="J276" s="286"/>
      <c r="K276" s="40"/>
      <c r="O276" s="351"/>
      <c r="P276" s="267">
        <f t="shared" si="3"/>
        <v>0</v>
      </c>
      <c r="W276"/>
      <c r="X276"/>
    </row>
    <row r="277" spans="1:24" ht="15.75" customHeight="1" x14ac:dyDescent="0.25">
      <c r="A277" s="612"/>
      <c r="B277" s="587"/>
      <c r="C277" s="530" t="s">
        <v>662</v>
      </c>
      <c r="D277" s="171" t="s">
        <v>213</v>
      </c>
      <c r="E277" s="56" t="s">
        <v>539</v>
      </c>
      <c r="F277" s="85"/>
      <c r="G277" s="85">
        <v>0</v>
      </c>
      <c r="H277" s="56" t="s">
        <v>158</v>
      </c>
      <c r="I277" s="56" t="s">
        <v>663</v>
      </c>
      <c r="J277" s="57"/>
      <c r="K277" s="40"/>
      <c r="O277" s="351"/>
      <c r="P277" s="267">
        <f t="shared" si="3"/>
        <v>0</v>
      </c>
      <c r="W277"/>
      <c r="X277"/>
    </row>
    <row r="278" spans="1:24" ht="15.75" customHeight="1" x14ac:dyDescent="0.25">
      <c r="A278" s="612"/>
      <c r="B278" s="587"/>
      <c r="C278" s="533"/>
      <c r="D278" s="269" t="s">
        <v>215</v>
      </c>
      <c r="E278" s="289" t="s">
        <v>504</v>
      </c>
      <c r="F278" s="359">
        <f>F277/0.9*10</f>
        <v>0</v>
      </c>
      <c r="G278" s="359">
        <v>0</v>
      </c>
      <c r="H278" s="289" t="s">
        <v>276</v>
      </c>
      <c r="I278" s="289" t="s">
        <v>664</v>
      </c>
      <c r="J278" s="290"/>
      <c r="K278" s="40"/>
      <c r="O278" s="351"/>
      <c r="P278" s="267">
        <f t="shared" si="3"/>
        <v>0</v>
      </c>
      <c r="W278"/>
      <c r="X278"/>
    </row>
    <row r="279" spans="1:24" ht="15.75" customHeight="1" thickBot="1" x14ac:dyDescent="0.3">
      <c r="A279" s="612"/>
      <c r="B279" s="587"/>
      <c r="C279" s="533"/>
      <c r="D279" s="268" t="s">
        <v>213</v>
      </c>
      <c r="E279" s="289" t="s">
        <v>665</v>
      </c>
      <c r="F279" s="343"/>
      <c r="G279" s="343">
        <v>0</v>
      </c>
      <c r="H279" s="285" t="s">
        <v>237</v>
      </c>
      <c r="I279" s="280" t="s">
        <v>666</v>
      </c>
      <c r="J279" s="290"/>
      <c r="K279" s="40"/>
      <c r="O279" s="351"/>
      <c r="P279" s="267">
        <f t="shared" si="3"/>
        <v>0</v>
      </c>
      <c r="W279"/>
      <c r="X279"/>
    </row>
    <row r="280" spans="1:24" ht="15.75" customHeight="1" x14ac:dyDescent="0.25">
      <c r="A280" s="612"/>
      <c r="B280" s="587"/>
      <c r="C280" s="529" t="s">
        <v>218</v>
      </c>
      <c r="D280" s="404" t="s">
        <v>218</v>
      </c>
      <c r="E280" s="287" t="s">
        <v>218</v>
      </c>
      <c r="F280" s="405">
        <f>SUM([1]Краска!E17,[1]Краска!E20)</f>
        <v>12.921249999999999</v>
      </c>
      <c r="G280" s="405">
        <v>0</v>
      </c>
      <c r="H280" s="287" t="s">
        <v>292</v>
      </c>
      <c r="I280" s="624" t="s">
        <v>667</v>
      </c>
      <c r="J280" s="288"/>
      <c r="K280" s="40"/>
      <c r="O280" s="351"/>
      <c r="P280" s="267">
        <f t="shared" si="3"/>
        <v>0</v>
      </c>
      <c r="W280"/>
      <c r="X280"/>
    </row>
    <row r="281" spans="1:24" ht="15.75" customHeight="1" x14ac:dyDescent="0.25">
      <c r="A281" s="612"/>
      <c r="B281" s="587"/>
      <c r="C281" s="533"/>
      <c r="D281" s="273" t="s">
        <v>221</v>
      </c>
      <c r="E281" s="289" t="s">
        <v>668</v>
      </c>
      <c r="F281" s="375">
        <f>ROUNDUP([1]Краска!N17+[1]Краска!N20,0)</f>
        <v>2</v>
      </c>
      <c r="G281" s="375">
        <v>0</v>
      </c>
      <c r="H281" s="289" t="s">
        <v>276</v>
      </c>
      <c r="I281" s="625"/>
      <c r="J281" s="290"/>
      <c r="K281" s="40"/>
      <c r="O281" s="351"/>
      <c r="P281" s="267">
        <f t="shared" si="3"/>
        <v>0</v>
      </c>
      <c r="W281"/>
      <c r="X281"/>
    </row>
    <row r="282" spans="1:24" ht="15.75" customHeight="1" thickBot="1" x14ac:dyDescent="0.3">
      <c r="A282" s="613"/>
      <c r="B282" s="589"/>
      <c r="C282" s="532"/>
      <c r="D282" s="273" t="s">
        <v>221</v>
      </c>
      <c r="E282" s="285" t="s">
        <v>669</v>
      </c>
      <c r="F282" s="406">
        <v>1</v>
      </c>
      <c r="G282" s="406">
        <v>0</v>
      </c>
      <c r="H282" s="285" t="s">
        <v>171</v>
      </c>
      <c r="I282" s="626"/>
      <c r="J282" s="286"/>
      <c r="K282" s="40"/>
      <c r="O282" s="351"/>
      <c r="P282" s="267">
        <f t="shared" si="3"/>
        <v>0</v>
      </c>
      <c r="W282"/>
      <c r="X282"/>
    </row>
    <row r="283" spans="1:24" ht="15.75" customHeight="1" x14ac:dyDescent="0.25">
      <c r="A283" s="558" t="s">
        <v>670</v>
      </c>
      <c r="B283" s="572"/>
      <c r="C283" s="529" t="s">
        <v>671</v>
      </c>
      <c r="D283" s="129" t="s">
        <v>207</v>
      </c>
      <c r="E283" s="109" t="s">
        <v>672</v>
      </c>
      <c r="F283" s="117"/>
      <c r="G283" s="117">
        <v>0</v>
      </c>
      <c r="H283" s="101" t="s">
        <v>276</v>
      </c>
      <c r="I283" s="101" t="s">
        <v>670</v>
      </c>
      <c r="J283" s="288"/>
      <c r="K283" s="40"/>
      <c r="O283" s="351">
        <v>5.37</v>
      </c>
      <c r="P283" s="267">
        <f t="shared" si="3"/>
        <v>0</v>
      </c>
      <c r="W283"/>
      <c r="X283"/>
    </row>
    <row r="284" spans="1:24" ht="15.75" customHeight="1" x14ac:dyDescent="0.25">
      <c r="A284" s="573"/>
      <c r="B284" s="574"/>
      <c r="C284" s="530"/>
      <c r="D284" s="266" t="s">
        <v>207</v>
      </c>
      <c r="E284" s="280" t="s">
        <v>672</v>
      </c>
      <c r="F284" s="343"/>
      <c r="G284" s="343">
        <v>0</v>
      </c>
      <c r="H284" s="289" t="s">
        <v>276</v>
      </c>
      <c r="I284" s="289" t="s">
        <v>670</v>
      </c>
      <c r="J284" s="57"/>
      <c r="K284" s="40"/>
      <c r="O284" s="351"/>
      <c r="P284" s="267"/>
      <c r="W284"/>
      <c r="X284"/>
    </row>
    <row r="285" spans="1:24" ht="15.75" customHeight="1" x14ac:dyDescent="0.25">
      <c r="A285" s="573"/>
      <c r="B285" s="574"/>
      <c r="C285" s="530"/>
      <c r="D285" s="266" t="s">
        <v>207</v>
      </c>
      <c r="E285" s="280" t="s">
        <v>673</v>
      </c>
      <c r="F285" s="343"/>
      <c r="G285" s="343">
        <v>0</v>
      </c>
      <c r="H285" s="289" t="s">
        <v>276</v>
      </c>
      <c r="I285" s="289" t="s">
        <v>670</v>
      </c>
      <c r="J285" s="57"/>
      <c r="K285" s="40"/>
      <c r="O285" s="351"/>
      <c r="P285" s="267"/>
      <c r="W285"/>
      <c r="X285"/>
    </row>
    <row r="286" spans="1:24" ht="15.75" customHeight="1" thickBot="1" x14ac:dyDescent="0.3">
      <c r="A286" s="573"/>
      <c r="B286" s="574"/>
      <c r="C286" s="531"/>
      <c r="D286" s="301" t="s">
        <v>421</v>
      </c>
      <c r="E286" s="292" t="s">
        <v>674</v>
      </c>
      <c r="F286" s="353">
        <f>(F283+F284+F285)*24</f>
        <v>0</v>
      </c>
      <c r="G286" s="353">
        <v>0</v>
      </c>
      <c r="H286" s="126" t="s">
        <v>276</v>
      </c>
      <c r="I286" s="126" t="s">
        <v>675</v>
      </c>
      <c r="J286" s="163"/>
      <c r="K286" s="40"/>
      <c r="O286" s="351"/>
      <c r="P286" s="267"/>
      <c r="W286"/>
      <c r="X286"/>
    </row>
    <row r="287" spans="1:24" ht="15.75" customHeight="1" x14ac:dyDescent="0.25">
      <c r="A287" s="573"/>
      <c r="B287" s="574"/>
      <c r="C287" s="530" t="s">
        <v>677</v>
      </c>
      <c r="D287" s="97" t="s">
        <v>207</v>
      </c>
      <c r="E287" s="98" t="s">
        <v>630</v>
      </c>
      <c r="F287" s="85"/>
      <c r="G287" s="85">
        <v>0</v>
      </c>
      <c r="H287" s="86" t="s">
        <v>276</v>
      </c>
      <c r="I287" s="86" t="s">
        <v>678</v>
      </c>
      <c r="J287" s="131"/>
      <c r="K287" s="40"/>
      <c r="L287" s="40"/>
      <c r="M287" s="40"/>
      <c r="N287" s="40"/>
      <c r="O287" s="351"/>
      <c r="P287" s="267"/>
      <c r="Q287" s="40"/>
      <c r="R287" s="40"/>
      <c r="S287" s="40"/>
      <c r="T287" s="40"/>
      <c r="U287" s="40"/>
      <c r="V287" s="40"/>
      <c r="W287"/>
      <c r="X287"/>
    </row>
    <row r="288" spans="1:24" ht="15.75" customHeight="1" x14ac:dyDescent="0.25">
      <c r="A288" s="573"/>
      <c r="B288" s="574"/>
      <c r="C288" s="530"/>
      <c r="D288" s="269" t="s">
        <v>215</v>
      </c>
      <c r="E288" s="75" t="s">
        <v>679</v>
      </c>
      <c r="F288" s="360">
        <f>F287*20</f>
        <v>0</v>
      </c>
      <c r="G288" s="360">
        <v>0</v>
      </c>
      <c r="H288" s="280" t="s">
        <v>276</v>
      </c>
      <c r="I288" s="280" t="s">
        <v>678</v>
      </c>
      <c r="J288" s="316"/>
      <c r="K288" s="40"/>
      <c r="L288" s="40"/>
      <c r="M288" s="40"/>
      <c r="N288" s="40"/>
      <c r="O288" s="351"/>
      <c r="P288" s="267"/>
      <c r="Q288" s="40"/>
      <c r="R288" s="40"/>
      <c r="S288" s="40"/>
      <c r="T288" s="40"/>
      <c r="U288" s="40"/>
      <c r="V288" s="40"/>
      <c r="W288"/>
      <c r="X288"/>
    </row>
    <row r="289" spans="1:24" ht="15.75" customHeight="1" x14ac:dyDescent="0.25">
      <c r="A289" s="573"/>
      <c r="B289" s="574"/>
      <c r="C289" s="530"/>
      <c r="D289" s="266" t="s">
        <v>207</v>
      </c>
      <c r="E289" s="311" t="s">
        <v>553</v>
      </c>
      <c r="F289" s="343"/>
      <c r="G289" s="343">
        <v>0</v>
      </c>
      <c r="H289" s="280" t="s">
        <v>276</v>
      </c>
      <c r="I289" s="280" t="s">
        <v>678</v>
      </c>
      <c r="J289" s="88"/>
      <c r="K289" s="40"/>
      <c r="L289" s="40"/>
      <c r="M289" s="40"/>
      <c r="N289" s="40"/>
      <c r="O289" s="351"/>
      <c r="P289" s="267"/>
      <c r="Q289" s="40"/>
      <c r="R289" s="40"/>
      <c r="S289" s="40"/>
      <c r="T289" s="40"/>
      <c r="U289" s="40"/>
      <c r="V289" s="40"/>
      <c r="W289"/>
      <c r="X289"/>
    </row>
    <row r="290" spans="1:24" ht="15.75" customHeight="1" x14ac:dyDescent="0.25">
      <c r="A290" s="573"/>
      <c r="B290" s="574"/>
      <c r="C290" s="530"/>
      <c r="D290" s="266" t="s">
        <v>207</v>
      </c>
      <c r="E290" s="311" t="s">
        <v>310</v>
      </c>
      <c r="F290" s="343"/>
      <c r="G290" s="343">
        <v>0</v>
      </c>
      <c r="H290" s="280" t="s">
        <v>276</v>
      </c>
      <c r="I290" s="280" t="s">
        <v>678</v>
      </c>
      <c r="J290" s="88"/>
      <c r="K290" s="40"/>
      <c r="L290" s="40"/>
      <c r="M290" s="40"/>
      <c r="N290" s="40"/>
      <c r="O290" s="351"/>
      <c r="P290" s="267"/>
      <c r="Q290" s="40"/>
      <c r="R290" s="40"/>
      <c r="S290" s="40"/>
      <c r="T290" s="40"/>
      <c r="U290" s="40"/>
      <c r="V290" s="40"/>
      <c r="W290"/>
      <c r="X290"/>
    </row>
    <row r="291" spans="1:24" ht="15.75" customHeight="1" x14ac:dyDescent="0.25">
      <c r="A291" s="573"/>
      <c r="B291" s="574"/>
      <c r="C291" s="530"/>
      <c r="D291" s="172" t="s">
        <v>207</v>
      </c>
      <c r="E291" s="98" t="s">
        <v>680</v>
      </c>
      <c r="F291" s="99"/>
      <c r="G291" s="99">
        <v>0</v>
      </c>
      <c r="H291" s="145" t="s">
        <v>276</v>
      </c>
      <c r="I291" s="145" t="s">
        <v>678</v>
      </c>
      <c r="J291" s="88"/>
      <c r="K291" s="40"/>
      <c r="L291" s="40"/>
      <c r="M291" s="40"/>
      <c r="N291" s="40"/>
      <c r="O291" s="351"/>
      <c r="P291" s="267"/>
      <c r="Q291" s="40"/>
      <c r="R291" s="40"/>
      <c r="S291" s="40"/>
      <c r="T291" s="40"/>
      <c r="U291" s="40"/>
      <c r="V291" s="40"/>
      <c r="W291"/>
      <c r="X291"/>
    </row>
    <row r="292" spans="1:24" ht="15.75" customHeight="1" thickBot="1" x14ac:dyDescent="0.3">
      <c r="A292" s="573"/>
      <c r="B292" s="574"/>
      <c r="C292" s="530"/>
      <c r="D292" s="104" t="s">
        <v>215</v>
      </c>
      <c r="E292" s="75" t="s">
        <v>681</v>
      </c>
      <c r="F292" s="93">
        <f>(F291+F290+F289)*20</f>
        <v>0</v>
      </c>
      <c r="G292" s="93">
        <v>0</v>
      </c>
      <c r="H292" s="75" t="s">
        <v>276</v>
      </c>
      <c r="I292" s="75" t="s">
        <v>682</v>
      </c>
      <c r="J292" s="75"/>
      <c r="K292" s="40"/>
      <c r="L292" s="40"/>
      <c r="M292" s="40"/>
      <c r="N292" s="40"/>
      <c r="O292" s="351"/>
      <c r="P292" s="267"/>
      <c r="Q292" s="40"/>
      <c r="R292" s="40"/>
      <c r="S292" s="40"/>
      <c r="T292" s="40"/>
      <c r="U292" s="40"/>
      <c r="V292" s="40"/>
      <c r="W292"/>
      <c r="X292"/>
    </row>
    <row r="293" spans="1:24" ht="15.75" customHeight="1" x14ac:dyDescent="0.25">
      <c r="A293" s="573"/>
      <c r="B293" s="574"/>
      <c r="C293" s="529" t="s">
        <v>683</v>
      </c>
      <c r="D293" s="407" t="s">
        <v>207</v>
      </c>
      <c r="E293" s="315" t="s">
        <v>553</v>
      </c>
      <c r="F293" s="342"/>
      <c r="G293" s="342">
        <v>0</v>
      </c>
      <c r="H293" s="282" t="s">
        <v>276</v>
      </c>
      <c r="I293" s="109" t="s">
        <v>684</v>
      </c>
      <c r="J293" s="151"/>
      <c r="K293" s="40"/>
      <c r="L293" s="40"/>
      <c r="M293" s="40"/>
      <c r="N293" s="40"/>
      <c r="O293" s="351"/>
      <c r="P293" s="267"/>
      <c r="Q293" s="40"/>
      <c r="R293" s="40"/>
      <c r="S293" s="40"/>
      <c r="T293" s="40"/>
      <c r="U293" s="40"/>
      <c r="V293" s="40"/>
      <c r="W293"/>
      <c r="X293"/>
    </row>
    <row r="294" spans="1:24" ht="15.75" customHeight="1" x14ac:dyDescent="0.25">
      <c r="A294" s="573"/>
      <c r="B294" s="574"/>
      <c r="C294" s="530"/>
      <c r="D294" s="173" t="s">
        <v>215</v>
      </c>
      <c r="E294" s="295" t="s">
        <v>339</v>
      </c>
      <c r="F294" s="144">
        <f>F293*20</f>
        <v>0</v>
      </c>
      <c r="G294" s="144">
        <v>0</v>
      </c>
      <c r="H294" s="145"/>
      <c r="I294" s="280"/>
      <c r="J294" s="316"/>
      <c r="K294" s="40"/>
      <c r="L294" s="40"/>
      <c r="M294" s="40"/>
      <c r="N294" s="40"/>
      <c r="O294" s="351"/>
      <c r="P294" s="267"/>
      <c r="Q294" s="40"/>
      <c r="R294" s="40"/>
      <c r="S294" s="40"/>
      <c r="T294" s="40"/>
      <c r="U294" s="40"/>
      <c r="V294" s="40"/>
      <c r="W294"/>
      <c r="X294"/>
    </row>
    <row r="295" spans="1:24" ht="15.75" customHeight="1" x14ac:dyDescent="0.25">
      <c r="A295" s="573"/>
      <c r="B295" s="574"/>
      <c r="C295" s="530"/>
      <c r="D295" s="269" t="s">
        <v>215</v>
      </c>
      <c r="E295" s="295" t="s">
        <v>593</v>
      </c>
      <c r="F295" s="343"/>
      <c r="G295" s="343">
        <v>0</v>
      </c>
      <c r="H295" s="280"/>
      <c r="I295" s="280"/>
      <c r="J295" s="316"/>
      <c r="K295" s="40"/>
      <c r="L295" s="40"/>
      <c r="M295" s="40"/>
      <c r="N295" s="40"/>
      <c r="O295" s="351"/>
      <c r="P295" s="267"/>
      <c r="Q295" s="40"/>
      <c r="R295" s="40"/>
      <c r="S295" s="40"/>
      <c r="T295" s="40"/>
      <c r="U295" s="40"/>
      <c r="V295" s="40"/>
      <c r="W295"/>
      <c r="X295"/>
    </row>
    <row r="296" spans="1:24" ht="15.75" customHeight="1" x14ac:dyDescent="0.25">
      <c r="A296" s="573"/>
      <c r="B296" s="574"/>
      <c r="C296" s="530"/>
      <c r="D296" s="408" t="s">
        <v>685</v>
      </c>
      <c r="E296" s="295"/>
      <c r="F296" s="343"/>
      <c r="G296" s="343">
        <v>0</v>
      </c>
      <c r="H296" s="289"/>
      <c r="I296" s="289"/>
      <c r="J296" s="290"/>
      <c r="K296" s="40"/>
      <c r="L296" s="40"/>
      <c r="M296" s="40"/>
      <c r="N296" s="40"/>
      <c r="O296" s="351"/>
      <c r="P296" s="267"/>
      <c r="Q296" s="40"/>
      <c r="R296" s="40"/>
      <c r="S296" s="40"/>
      <c r="T296" s="40"/>
      <c r="U296" s="40"/>
      <c r="V296" s="40"/>
      <c r="W296"/>
      <c r="X296"/>
    </row>
    <row r="297" spans="1:24" ht="15.75" customHeight="1" x14ac:dyDescent="0.25">
      <c r="A297" s="573"/>
      <c r="B297" s="574"/>
      <c r="C297" s="530"/>
      <c r="D297" s="408" t="s">
        <v>685</v>
      </c>
      <c r="E297" s="295"/>
      <c r="F297" s="343"/>
      <c r="G297" s="343">
        <v>0</v>
      </c>
      <c r="H297" s="289"/>
      <c r="I297" s="289"/>
      <c r="J297" s="290"/>
      <c r="K297" s="40"/>
      <c r="L297" s="40"/>
      <c r="M297" s="40"/>
      <c r="N297" s="40"/>
      <c r="O297" s="351"/>
      <c r="P297" s="267"/>
      <c r="Q297" s="40"/>
      <c r="R297" s="40"/>
      <c r="S297" s="40"/>
      <c r="T297" s="40"/>
      <c r="U297" s="40"/>
      <c r="V297" s="40"/>
      <c r="W297"/>
      <c r="X297"/>
    </row>
    <row r="298" spans="1:24" ht="15.75" customHeight="1" thickBot="1" x14ac:dyDescent="0.3">
      <c r="A298" s="573"/>
      <c r="B298" s="574"/>
      <c r="C298" s="531"/>
      <c r="D298" s="409" t="s">
        <v>685</v>
      </c>
      <c r="E298" s="300"/>
      <c r="F298" s="357"/>
      <c r="G298" s="357">
        <v>0</v>
      </c>
      <c r="H298" s="285"/>
      <c r="I298" s="285"/>
      <c r="J298" s="286"/>
      <c r="K298" s="40"/>
      <c r="L298" s="40"/>
      <c r="M298" s="40"/>
      <c r="N298" s="40"/>
      <c r="O298" s="351"/>
      <c r="P298" s="267"/>
      <c r="Q298" s="40"/>
      <c r="R298" s="40"/>
      <c r="S298" s="40"/>
      <c r="T298" s="40"/>
      <c r="U298" s="40"/>
      <c r="V298" s="40"/>
      <c r="W298"/>
      <c r="X298"/>
    </row>
    <row r="299" spans="1:24" ht="15.75" customHeight="1" x14ac:dyDescent="0.25">
      <c r="A299" s="573"/>
      <c r="B299" s="574"/>
      <c r="C299" s="529" t="s">
        <v>686</v>
      </c>
      <c r="D299" s="129" t="s">
        <v>207</v>
      </c>
      <c r="E299" s="109" t="s">
        <v>672</v>
      </c>
      <c r="F299" s="117"/>
      <c r="G299" s="117">
        <v>0</v>
      </c>
      <c r="H299" s="101" t="s">
        <v>276</v>
      </c>
      <c r="I299" s="101" t="s">
        <v>687</v>
      </c>
      <c r="J299" s="121"/>
      <c r="K299" s="40"/>
      <c r="L299" s="40"/>
      <c r="M299" s="40"/>
      <c r="N299" s="40"/>
      <c r="O299" s="351"/>
      <c r="P299" s="267"/>
      <c r="Q299" s="40"/>
      <c r="R299" s="40"/>
      <c r="S299" s="40"/>
      <c r="T299" s="40"/>
      <c r="U299" s="40"/>
      <c r="V299" s="40"/>
      <c r="W299"/>
      <c r="X299"/>
    </row>
    <row r="300" spans="1:24" ht="15.75" customHeight="1" x14ac:dyDescent="0.25">
      <c r="A300" s="573"/>
      <c r="B300" s="574"/>
      <c r="C300" s="530"/>
      <c r="D300" s="266" t="s">
        <v>207</v>
      </c>
      <c r="E300" s="280" t="s">
        <v>688</v>
      </c>
      <c r="F300" s="343"/>
      <c r="G300" s="343">
        <v>0</v>
      </c>
      <c r="H300" s="289" t="s">
        <v>276</v>
      </c>
      <c r="I300" s="289" t="s">
        <v>687</v>
      </c>
      <c r="J300" s="290"/>
      <c r="K300" s="40"/>
      <c r="O300" s="351">
        <v>8.4</v>
      </c>
      <c r="P300" s="267">
        <f t="shared" si="3"/>
        <v>0</v>
      </c>
      <c r="W300"/>
      <c r="X300"/>
    </row>
    <row r="301" spans="1:24" ht="15.75" customHeight="1" x14ac:dyDescent="0.25">
      <c r="A301" s="573"/>
      <c r="B301" s="574"/>
      <c r="C301" s="530"/>
      <c r="D301" s="266" t="s">
        <v>207</v>
      </c>
      <c r="E301" s="280" t="s">
        <v>689</v>
      </c>
      <c r="F301" s="343"/>
      <c r="G301" s="343">
        <v>0</v>
      </c>
      <c r="H301" s="289" t="s">
        <v>276</v>
      </c>
      <c r="I301" s="289" t="s">
        <v>690</v>
      </c>
      <c r="J301" s="290"/>
      <c r="K301" s="40"/>
      <c r="O301" s="351"/>
      <c r="P301" s="267"/>
      <c r="W301"/>
      <c r="X301"/>
    </row>
    <row r="302" spans="1:24" ht="15.75" customHeight="1" x14ac:dyDescent="0.25">
      <c r="A302" s="573"/>
      <c r="B302" s="574"/>
      <c r="C302" s="530"/>
      <c r="D302" s="166" t="s">
        <v>207</v>
      </c>
      <c r="E302" s="75" t="s">
        <v>691</v>
      </c>
      <c r="F302" s="102"/>
      <c r="G302" s="102">
        <v>0</v>
      </c>
      <c r="H302" s="60" t="s">
        <v>276</v>
      </c>
      <c r="I302" s="60" t="s">
        <v>687</v>
      </c>
      <c r="J302" s="290"/>
      <c r="K302" s="40"/>
      <c r="O302" s="351">
        <v>11.39</v>
      </c>
      <c r="P302" s="267">
        <f t="shared" si="3"/>
        <v>0</v>
      </c>
      <c r="W302"/>
      <c r="X302"/>
    </row>
    <row r="303" spans="1:24" ht="15.75" customHeight="1" x14ac:dyDescent="0.25">
      <c r="A303" s="573"/>
      <c r="B303" s="574"/>
      <c r="C303" s="530"/>
      <c r="D303" s="266" t="s">
        <v>207</v>
      </c>
      <c r="E303" s="280" t="s">
        <v>673</v>
      </c>
      <c r="F303" s="343"/>
      <c r="G303" s="343">
        <v>0</v>
      </c>
      <c r="H303" s="289" t="s">
        <v>276</v>
      </c>
      <c r="I303" s="289" t="s">
        <v>687</v>
      </c>
      <c r="J303" s="73"/>
      <c r="K303" s="40"/>
      <c r="O303" s="351"/>
      <c r="P303" s="267"/>
      <c r="W303"/>
      <c r="X303"/>
    </row>
    <row r="304" spans="1:24" ht="15.75" customHeight="1" x14ac:dyDescent="0.25">
      <c r="A304" s="573"/>
      <c r="B304" s="574"/>
      <c r="C304" s="530"/>
      <c r="D304" s="266" t="s">
        <v>207</v>
      </c>
      <c r="E304" s="280" t="s">
        <v>692</v>
      </c>
      <c r="F304" s="343"/>
      <c r="G304" s="343">
        <v>0</v>
      </c>
      <c r="H304" s="289" t="s">
        <v>276</v>
      </c>
      <c r="I304" s="289" t="s">
        <v>687</v>
      </c>
      <c r="J304" s="73"/>
      <c r="K304" s="40"/>
      <c r="O304" s="351"/>
      <c r="P304" s="267"/>
      <c r="W304"/>
      <c r="X304"/>
    </row>
    <row r="305" spans="1:24" ht="15.75" customHeight="1" x14ac:dyDescent="0.25">
      <c r="A305" s="573"/>
      <c r="B305" s="574"/>
      <c r="C305" s="530"/>
      <c r="D305" s="266" t="s">
        <v>207</v>
      </c>
      <c r="E305" s="280" t="s">
        <v>693</v>
      </c>
      <c r="F305" s="343"/>
      <c r="G305" s="343">
        <v>0</v>
      </c>
      <c r="H305" s="289" t="s">
        <v>276</v>
      </c>
      <c r="I305" s="289" t="s">
        <v>687</v>
      </c>
      <c r="J305" s="73"/>
      <c r="K305" s="40"/>
      <c r="O305" s="351"/>
      <c r="P305" s="267"/>
      <c r="W305"/>
      <c r="X305"/>
    </row>
    <row r="306" spans="1:24" ht="15.75" customHeight="1" thickBot="1" x14ac:dyDescent="0.3">
      <c r="A306" s="573"/>
      <c r="B306" s="574"/>
      <c r="C306" s="531"/>
      <c r="D306" s="301" t="s">
        <v>421</v>
      </c>
      <c r="E306" s="300" t="s">
        <v>583</v>
      </c>
      <c r="F306" s="353">
        <f>(F300+F302+F299+F303+F304+F305)*20</f>
        <v>0</v>
      </c>
      <c r="G306" s="353">
        <v>0</v>
      </c>
      <c r="H306" s="285" t="s">
        <v>276</v>
      </c>
      <c r="I306" s="285" t="s">
        <v>694</v>
      </c>
      <c r="J306" s="286"/>
      <c r="K306" s="40"/>
      <c r="O306" s="351"/>
      <c r="P306" s="267">
        <f t="shared" si="3"/>
        <v>0</v>
      </c>
      <c r="W306"/>
      <c r="X306"/>
    </row>
    <row r="307" spans="1:24" ht="15.75" customHeight="1" x14ac:dyDescent="0.25">
      <c r="A307" s="573"/>
      <c r="B307" s="574"/>
      <c r="C307" s="530" t="s">
        <v>695</v>
      </c>
      <c r="D307" s="174" t="s">
        <v>314</v>
      </c>
      <c r="E307" s="86" t="s">
        <v>696</v>
      </c>
      <c r="F307" s="85"/>
      <c r="G307" s="85">
        <v>0</v>
      </c>
      <c r="H307" s="86" t="s">
        <v>158</v>
      </c>
      <c r="I307" s="86" t="s">
        <v>697</v>
      </c>
      <c r="J307" s="57" t="s">
        <v>698</v>
      </c>
      <c r="K307" s="40"/>
      <c r="O307" s="351"/>
      <c r="P307" s="267">
        <f t="shared" si="3"/>
        <v>0</v>
      </c>
      <c r="W307"/>
      <c r="X307"/>
    </row>
    <row r="308" spans="1:24" ht="15.75" customHeight="1" thickBot="1" x14ac:dyDescent="0.3">
      <c r="A308" s="573"/>
      <c r="B308" s="574"/>
      <c r="C308" s="532"/>
      <c r="D308" s="283" t="s">
        <v>215</v>
      </c>
      <c r="E308" s="292" t="s">
        <v>504</v>
      </c>
      <c r="F308" s="353">
        <f>F307*50</f>
        <v>0</v>
      </c>
      <c r="G308" s="353">
        <v>0</v>
      </c>
      <c r="H308" s="285" t="s">
        <v>276</v>
      </c>
      <c r="I308" s="285" t="s">
        <v>699</v>
      </c>
      <c r="J308" s="286"/>
      <c r="K308" s="40"/>
      <c r="O308" s="351"/>
      <c r="P308" s="267">
        <f t="shared" si="3"/>
        <v>0</v>
      </c>
      <c r="W308"/>
      <c r="X308"/>
    </row>
    <row r="309" spans="1:24" ht="15.75" customHeight="1" x14ac:dyDescent="0.25">
      <c r="A309" s="573"/>
      <c r="B309" s="574"/>
      <c r="C309" s="529" t="s">
        <v>218</v>
      </c>
      <c r="D309" s="404" t="s">
        <v>218</v>
      </c>
      <c r="E309" s="282" t="s">
        <v>218</v>
      </c>
      <c r="F309" s="405">
        <f>SUM([1]Краска!E25,[1]Краска!E29)</f>
        <v>4.4081999999999999</v>
      </c>
      <c r="G309" s="405">
        <v>0</v>
      </c>
      <c r="H309" s="287" t="s">
        <v>292</v>
      </c>
      <c r="I309" s="287"/>
      <c r="J309" s="288"/>
      <c r="K309" s="40"/>
      <c r="O309" s="351"/>
      <c r="P309" s="267">
        <f t="shared" si="3"/>
        <v>0</v>
      </c>
      <c r="W309"/>
      <c r="X309"/>
    </row>
    <row r="310" spans="1:24" ht="15.75" customHeight="1" x14ac:dyDescent="0.25">
      <c r="A310" s="573"/>
      <c r="B310" s="574"/>
      <c r="C310" s="533"/>
      <c r="D310" s="273" t="s">
        <v>221</v>
      </c>
      <c r="E310" s="280" t="s">
        <v>668</v>
      </c>
      <c r="F310" s="375">
        <f>ROUNDUP(SUM([1]Краска!N25,[1]Краска!N29),0)</f>
        <v>1</v>
      </c>
      <c r="G310" s="375">
        <v>0</v>
      </c>
      <c r="H310" s="289" t="s">
        <v>276</v>
      </c>
      <c r="I310" s="289"/>
      <c r="J310" s="290"/>
      <c r="K310" s="40"/>
      <c r="O310" s="351"/>
      <c r="P310" s="267">
        <f t="shared" si="3"/>
        <v>0</v>
      </c>
      <c r="W310"/>
      <c r="X310"/>
    </row>
    <row r="311" spans="1:24" ht="15.75" customHeight="1" thickBot="1" x14ac:dyDescent="0.3">
      <c r="A311" s="410"/>
      <c r="B311" s="411"/>
      <c r="C311" s="532"/>
      <c r="D311" s="175" t="s">
        <v>218</v>
      </c>
      <c r="E311" s="75" t="s">
        <v>700</v>
      </c>
      <c r="F311" s="102"/>
      <c r="G311" s="102">
        <v>0</v>
      </c>
      <c r="H311" s="60" t="s">
        <v>292</v>
      </c>
      <c r="I311" s="60"/>
      <c r="J311" s="73"/>
      <c r="K311" s="40"/>
      <c r="O311" s="351"/>
      <c r="P311" s="267">
        <f t="shared" si="3"/>
        <v>0</v>
      </c>
      <c r="W311"/>
      <c r="X311"/>
    </row>
    <row r="312" spans="1:24" ht="30" customHeight="1" thickBot="1" x14ac:dyDescent="0.3">
      <c r="A312" s="153" t="s">
        <v>701</v>
      </c>
      <c r="B312" s="153"/>
      <c r="C312" s="582" t="s">
        <v>702</v>
      </c>
      <c r="D312" s="412" t="s">
        <v>207</v>
      </c>
      <c r="E312" s="391" t="s">
        <v>703</v>
      </c>
      <c r="F312" s="342"/>
      <c r="G312" s="342">
        <v>0</v>
      </c>
      <c r="H312" s="287" t="s">
        <v>276</v>
      </c>
      <c r="I312" s="287" t="s">
        <v>704</v>
      </c>
      <c r="J312" s="288"/>
      <c r="K312" s="40"/>
      <c r="O312" s="351">
        <v>19.23</v>
      </c>
      <c r="P312" s="267">
        <f>O312*F313</f>
        <v>0</v>
      </c>
      <c r="W312"/>
      <c r="X312"/>
    </row>
    <row r="313" spans="1:24" ht="30" customHeight="1" thickBot="1" x14ac:dyDescent="0.3">
      <c r="A313" s="154" t="s">
        <v>705</v>
      </c>
      <c r="B313" s="154"/>
      <c r="C313" s="583"/>
      <c r="D313" s="176" t="s">
        <v>207</v>
      </c>
      <c r="E313" s="177" t="s">
        <v>706</v>
      </c>
      <c r="F313" s="85"/>
      <c r="G313" s="85">
        <v>0</v>
      </c>
      <c r="H313" s="56" t="s">
        <v>276</v>
      </c>
      <c r="I313" s="56" t="s">
        <v>704</v>
      </c>
      <c r="J313" s="57"/>
      <c r="K313" s="40"/>
      <c r="O313" s="351"/>
      <c r="P313" s="267"/>
      <c r="W313"/>
      <c r="X313"/>
    </row>
    <row r="314" spans="1:24" ht="15.75" customHeight="1" x14ac:dyDescent="0.25">
      <c r="A314" s="584" t="s">
        <v>707</v>
      </c>
      <c r="B314" s="585"/>
      <c r="C314" s="507"/>
      <c r="D314" s="413" t="s">
        <v>421</v>
      </c>
      <c r="E314" s="295" t="s">
        <v>443</v>
      </c>
      <c r="F314" s="343"/>
      <c r="G314" s="343">
        <v>0</v>
      </c>
      <c r="H314" s="60" t="s">
        <v>276</v>
      </c>
      <c r="I314" s="289" t="s">
        <v>708</v>
      </c>
      <c r="J314" s="290" t="s">
        <v>709</v>
      </c>
      <c r="K314" s="40"/>
      <c r="O314" s="351"/>
      <c r="P314" s="267">
        <f>O314*F314</f>
        <v>0</v>
      </c>
      <c r="W314"/>
      <c r="X314"/>
    </row>
    <row r="315" spans="1:24" ht="15.75" customHeight="1" x14ac:dyDescent="0.25">
      <c r="A315" s="586"/>
      <c r="B315" s="587"/>
      <c r="C315" s="507"/>
      <c r="D315" s="176" t="s">
        <v>207</v>
      </c>
      <c r="E315" s="56" t="s">
        <v>710</v>
      </c>
      <c r="F315" s="85"/>
      <c r="G315" s="85">
        <v>0</v>
      </c>
      <c r="H315" s="56" t="s">
        <v>171</v>
      </c>
      <c r="I315" s="56" t="s">
        <v>704</v>
      </c>
      <c r="J315" s="57"/>
      <c r="K315" s="40"/>
      <c r="O315" s="351">
        <v>11.75</v>
      </c>
      <c r="P315" s="267">
        <f>O315*F315</f>
        <v>0</v>
      </c>
      <c r="W315"/>
      <c r="X315"/>
    </row>
    <row r="316" spans="1:24" ht="15.75" customHeight="1" thickBot="1" x14ac:dyDescent="0.3">
      <c r="A316" s="586"/>
      <c r="B316" s="587"/>
      <c r="C316" s="507"/>
      <c r="D316" s="110" t="s">
        <v>421</v>
      </c>
      <c r="E316" s="285" t="s">
        <v>711</v>
      </c>
      <c r="F316" s="357"/>
      <c r="G316" s="357">
        <v>0</v>
      </c>
      <c r="H316" s="285" t="s">
        <v>276</v>
      </c>
      <c r="I316" s="285" t="s">
        <v>712</v>
      </c>
      <c r="J316" s="286"/>
      <c r="K316" s="40"/>
      <c r="O316" s="351"/>
      <c r="P316" s="267">
        <f>O316*F316</f>
        <v>0</v>
      </c>
      <c r="W316"/>
      <c r="X316"/>
    </row>
    <row r="317" spans="1:24" ht="15.75" customHeight="1" x14ac:dyDescent="0.25">
      <c r="A317" s="586"/>
      <c r="B317" s="587"/>
      <c r="C317" s="507"/>
      <c r="D317" s="412" t="s">
        <v>207</v>
      </c>
      <c r="E317" s="391" t="s">
        <v>713</v>
      </c>
      <c r="F317" s="117"/>
      <c r="G317" s="117">
        <v>0</v>
      </c>
      <c r="H317" s="109" t="s">
        <v>276</v>
      </c>
      <c r="I317" s="282" t="s">
        <v>704</v>
      </c>
      <c r="J317" s="151"/>
      <c r="K317" s="40"/>
      <c r="L317" s="40"/>
      <c r="M317" s="40"/>
      <c r="N317" s="40"/>
      <c r="O317" s="351"/>
      <c r="P317" s="267"/>
      <c r="Q317" s="40"/>
      <c r="R317" s="40"/>
      <c r="S317" s="40"/>
      <c r="T317" s="40"/>
      <c r="U317" s="40"/>
      <c r="V317" s="40"/>
      <c r="W317"/>
      <c r="X317"/>
    </row>
    <row r="318" spans="1:24" ht="15.75" customHeight="1" x14ac:dyDescent="0.25">
      <c r="A318" s="586"/>
      <c r="B318" s="587"/>
      <c r="C318" s="507"/>
      <c r="D318" s="176" t="s">
        <v>207</v>
      </c>
      <c r="E318" s="376" t="s">
        <v>714</v>
      </c>
      <c r="F318" s="102"/>
      <c r="G318" s="102">
        <v>0</v>
      </c>
      <c r="H318" s="60" t="s">
        <v>276</v>
      </c>
      <c r="I318" s="56" t="s">
        <v>715</v>
      </c>
      <c r="J318" s="73"/>
      <c r="K318" s="40"/>
      <c r="L318" s="40"/>
      <c r="M318" s="40"/>
      <c r="N318" s="40"/>
      <c r="O318" s="351"/>
      <c r="P318" s="267"/>
      <c r="Q318" s="40"/>
      <c r="R318" s="40"/>
      <c r="S318" s="40"/>
      <c r="T318" s="40"/>
      <c r="U318" s="40"/>
      <c r="V318" s="40"/>
      <c r="W318"/>
      <c r="X318"/>
    </row>
    <row r="319" spans="1:24" ht="15.75" customHeight="1" x14ac:dyDescent="0.25">
      <c r="A319" s="586"/>
      <c r="B319" s="587"/>
      <c r="C319" s="507"/>
      <c r="D319" s="176" t="s">
        <v>207</v>
      </c>
      <c r="E319" s="376" t="s">
        <v>716</v>
      </c>
      <c r="F319" s="102"/>
      <c r="G319" s="102">
        <v>0</v>
      </c>
      <c r="H319" s="60" t="s">
        <v>276</v>
      </c>
      <c r="I319" s="56" t="s">
        <v>717</v>
      </c>
      <c r="J319" s="73"/>
      <c r="K319" s="40"/>
      <c r="L319" s="40"/>
      <c r="M319" s="40"/>
      <c r="N319" s="40"/>
      <c r="O319" s="351"/>
      <c r="P319" s="267"/>
      <c r="Q319" s="40"/>
      <c r="R319" s="40"/>
      <c r="S319" s="40"/>
      <c r="T319" s="40"/>
      <c r="U319" s="40"/>
      <c r="V319" s="40"/>
      <c r="W319"/>
      <c r="X319"/>
    </row>
    <row r="320" spans="1:24" ht="15.75" customHeight="1" x14ac:dyDescent="0.25">
      <c r="A320" s="586"/>
      <c r="B320" s="587"/>
      <c r="C320" s="507"/>
      <c r="D320" s="414" t="s">
        <v>215</v>
      </c>
      <c r="E320" s="280" t="s">
        <v>718</v>
      </c>
      <c r="F320" s="102"/>
      <c r="G320" s="102">
        <v>0</v>
      </c>
      <c r="H320" s="60" t="s">
        <v>276</v>
      </c>
      <c r="I320" s="289" t="s">
        <v>712</v>
      </c>
      <c r="J320" s="73"/>
      <c r="K320" s="40"/>
      <c r="L320" s="40"/>
      <c r="M320" s="40"/>
      <c r="N320" s="40"/>
      <c r="O320" s="351"/>
      <c r="P320" s="267"/>
      <c r="Q320" s="40"/>
      <c r="R320" s="40"/>
      <c r="S320" s="40"/>
      <c r="T320" s="40"/>
      <c r="U320" s="40"/>
      <c r="V320" s="40"/>
      <c r="W320"/>
      <c r="X320"/>
    </row>
    <row r="321" spans="1:24" ht="15.75" customHeight="1" x14ac:dyDescent="0.25">
      <c r="A321" s="586"/>
      <c r="B321" s="587"/>
      <c r="C321" s="507"/>
      <c r="D321" s="414" t="s">
        <v>215</v>
      </c>
      <c r="E321" s="280" t="s">
        <v>719</v>
      </c>
      <c r="F321" s="102"/>
      <c r="G321" s="102">
        <v>0</v>
      </c>
      <c r="H321" s="60" t="s">
        <v>276</v>
      </c>
      <c r="I321" s="289" t="s">
        <v>712</v>
      </c>
      <c r="J321" s="73"/>
      <c r="K321" s="40"/>
      <c r="L321" s="40"/>
      <c r="M321" s="40"/>
      <c r="N321" s="40"/>
      <c r="O321" s="351"/>
      <c r="P321" s="267"/>
      <c r="Q321" s="40"/>
      <c r="R321" s="40"/>
      <c r="S321" s="40"/>
      <c r="T321" s="40"/>
      <c r="U321" s="40"/>
      <c r="V321" s="40"/>
      <c r="W321"/>
      <c r="X321"/>
    </row>
    <row r="322" spans="1:24" ht="15.75" customHeight="1" thickBot="1" x14ac:dyDescent="0.3">
      <c r="A322" s="586"/>
      <c r="B322" s="587"/>
      <c r="C322" s="508"/>
      <c r="D322" s="415" t="s">
        <v>215</v>
      </c>
      <c r="E322" s="300" t="s">
        <v>642</v>
      </c>
      <c r="F322" s="377">
        <f>(F320+F321)+(F319*4000/200)</f>
        <v>0</v>
      </c>
      <c r="G322" s="377">
        <v>0</v>
      </c>
      <c r="H322" s="285" t="s">
        <v>276</v>
      </c>
      <c r="I322" s="285" t="s">
        <v>720</v>
      </c>
      <c r="J322" s="286"/>
      <c r="K322" s="40"/>
      <c r="L322" s="40"/>
      <c r="M322" s="40"/>
      <c r="N322" s="40"/>
      <c r="O322" s="351"/>
      <c r="P322" s="267"/>
      <c r="Q322" s="40"/>
      <c r="R322" s="40"/>
      <c r="S322" s="40"/>
      <c r="T322" s="40"/>
      <c r="U322" s="40"/>
      <c r="V322" s="40"/>
      <c r="W322"/>
      <c r="X322"/>
    </row>
    <row r="323" spans="1:24" ht="15.75" customHeight="1" x14ac:dyDescent="0.25">
      <c r="A323" s="586"/>
      <c r="B323" s="587"/>
      <c r="C323" s="547" t="s">
        <v>721</v>
      </c>
      <c r="D323" s="129" t="s">
        <v>207</v>
      </c>
      <c r="E323" s="109" t="s">
        <v>514</v>
      </c>
      <c r="F323" s="117"/>
      <c r="G323" s="117">
        <v>0</v>
      </c>
      <c r="H323" s="101" t="s">
        <v>171</v>
      </c>
      <c r="I323" s="101" t="s">
        <v>722</v>
      </c>
      <c r="J323" s="288"/>
      <c r="K323" s="40"/>
      <c r="O323" s="351">
        <v>2.0299999999999998</v>
      </c>
      <c r="P323" s="267">
        <f t="shared" ref="P323:P328" si="4">O323*F323</f>
        <v>0</v>
      </c>
      <c r="W323"/>
      <c r="X323"/>
    </row>
    <row r="324" spans="1:24" ht="15.75" customHeight="1" x14ac:dyDescent="0.25">
      <c r="A324" s="586"/>
      <c r="B324" s="587"/>
      <c r="C324" s="533"/>
      <c r="D324" s="268" t="s">
        <v>213</v>
      </c>
      <c r="E324" s="311" t="s">
        <v>723</v>
      </c>
      <c r="F324" s="343"/>
      <c r="G324" s="343">
        <v>0</v>
      </c>
      <c r="H324" s="289" t="s">
        <v>158</v>
      </c>
      <c r="I324" s="289"/>
      <c r="J324" s="290"/>
      <c r="K324" s="40"/>
      <c r="L324" s="264">
        <v>1</v>
      </c>
      <c r="O324" s="351"/>
      <c r="P324" s="267">
        <f t="shared" si="4"/>
        <v>0</v>
      </c>
      <c r="W324"/>
      <c r="X324"/>
    </row>
    <row r="325" spans="1:24" ht="15.75" customHeight="1" x14ac:dyDescent="0.25">
      <c r="A325" s="586"/>
      <c r="B325" s="587"/>
      <c r="C325" s="533"/>
      <c r="D325" s="265" t="s">
        <v>205</v>
      </c>
      <c r="E325" s="311" t="s">
        <v>651</v>
      </c>
      <c r="F325" s="343"/>
      <c r="G325" s="343">
        <v>0</v>
      </c>
      <c r="H325" s="289" t="s">
        <v>394</v>
      </c>
      <c r="I325" s="289"/>
      <c r="J325" s="290"/>
      <c r="K325" s="40"/>
      <c r="O325" s="351">
        <v>18.28</v>
      </c>
      <c r="P325" s="267">
        <f t="shared" si="4"/>
        <v>0</v>
      </c>
      <c r="W325"/>
      <c r="X325"/>
    </row>
    <row r="326" spans="1:24" ht="15.75" customHeight="1" x14ac:dyDescent="0.25">
      <c r="A326" s="586"/>
      <c r="B326" s="587"/>
      <c r="C326" s="533"/>
      <c r="D326" s="132" t="s">
        <v>290</v>
      </c>
      <c r="E326" s="311" t="s">
        <v>542</v>
      </c>
      <c r="F326" s="343"/>
      <c r="G326" s="343">
        <v>0</v>
      </c>
      <c r="H326" s="280" t="s">
        <v>543</v>
      </c>
      <c r="I326" s="289"/>
      <c r="J326" s="290"/>
      <c r="K326" s="40"/>
      <c r="O326" s="351"/>
      <c r="P326" s="267">
        <f t="shared" si="4"/>
        <v>0</v>
      </c>
      <c r="W326"/>
      <c r="X326"/>
    </row>
    <row r="327" spans="1:24" ht="15.75" customHeight="1" x14ac:dyDescent="0.25">
      <c r="A327" s="586"/>
      <c r="B327" s="587"/>
      <c r="C327" s="533"/>
      <c r="D327" s="269" t="s">
        <v>215</v>
      </c>
      <c r="E327" s="311" t="s">
        <v>516</v>
      </c>
      <c r="F327" s="359">
        <f>F325*66</f>
        <v>0</v>
      </c>
      <c r="G327" s="359">
        <v>0</v>
      </c>
      <c r="H327" s="289" t="s">
        <v>171</v>
      </c>
      <c r="I327" s="289"/>
      <c r="J327" s="290"/>
      <c r="K327" s="40"/>
      <c r="O327" s="351"/>
      <c r="P327" s="267">
        <f t="shared" si="4"/>
        <v>0</v>
      </c>
      <c r="W327"/>
      <c r="X327"/>
    </row>
    <row r="328" spans="1:24" ht="15.75" customHeight="1" thickBot="1" x14ac:dyDescent="0.3">
      <c r="A328" s="586"/>
      <c r="B328" s="587"/>
      <c r="C328" s="532"/>
      <c r="D328" s="283" t="s">
        <v>215</v>
      </c>
      <c r="E328" s="285" t="s">
        <v>498</v>
      </c>
      <c r="F328" s="353">
        <f>F323*10</f>
        <v>0</v>
      </c>
      <c r="G328" s="353">
        <v>0</v>
      </c>
      <c r="H328" s="285" t="s">
        <v>171</v>
      </c>
      <c r="I328" s="285"/>
      <c r="J328" s="286"/>
      <c r="K328" s="40"/>
      <c r="O328" s="351"/>
      <c r="P328" s="267">
        <f t="shared" si="4"/>
        <v>0</v>
      </c>
      <c r="W328"/>
      <c r="X328"/>
    </row>
    <row r="329" spans="1:24" ht="15.75" customHeight="1" x14ac:dyDescent="0.25">
      <c r="A329" s="586"/>
      <c r="B329" s="587"/>
      <c r="C329" s="547" t="s">
        <v>724</v>
      </c>
      <c r="D329" s="281" t="s">
        <v>207</v>
      </c>
      <c r="E329" s="323" t="s">
        <v>348</v>
      </c>
      <c r="F329" s="342"/>
      <c r="G329" s="342">
        <v>0</v>
      </c>
      <c r="H329" s="287"/>
      <c r="I329" s="287"/>
      <c r="J329" s="288" t="s">
        <v>385</v>
      </c>
      <c r="K329" s="40"/>
      <c r="L329" s="40"/>
      <c r="M329" s="40"/>
      <c r="N329" s="40"/>
      <c r="O329" s="351"/>
      <c r="P329" s="267"/>
      <c r="Q329" s="40"/>
      <c r="R329" s="40"/>
      <c r="S329" s="40"/>
      <c r="T329" s="40"/>
      <c r="U329" s="40"/>
      <c r="V329" s="40"/>
      <c r="W329"/>
      <c r="X329"/>
    </row>
    <row r="330" spans="1:24" ht="15.75" customHeight="1" x14ac:dyDescent="0.25">
      <c r="A330" s="586"/>
      <c r="B330" s="587"/>
      <c r="C330" s="533"/>
      <c r="D330" s="266" t="s">
        <v>207</v>
      </c>
      <c r="E330" s="95" t="s">
        <v>312</v>
      </c>
      <c r="F330" s="343"/>
      <c r="G330" s="343">
        <v>0</v>
      </c>
      <c r="H330" s="289" t="s">
        <v>276</v>
      </c>
      <c r="I330" s="289"/>
      <c r="J330" s="290" t="s">
        <v>385</v>
      </c>
      <c r="K330" s="40"/>
      <c r="L330" s="40"/>
      <c r="M330" s="40"/>
      <c r="N330" s="40"/>
      <c r="O330" s="351"/>
      <c r="P330" s="267"/>
      <c r="Q330" s="40"/>
      <c r="R330" s="40"/>
      <c r="S330" s="40"/>
      <c r="T330" s="40"/>
      <c r="U330" s="40"/>
      <c r="V330" s="40"/>
      <c r="W330"/>
      <c r="X330"/>
    </row>
    <row r="331" spans="1:24" ht="15.75" customHeight="1" x14ac:dyDescent="0.25">
      <c r="A331" s="586"/>
      <c r="B331" s="587"/>
      <c r="C331" s="533"/>
      <c r="D331" s="266" t="s">
        <v>207</v>
      </c>
      <c r="E331" s="311" t="s">
        <v>310</v>
      </c>
      <c r="F331" s="343"/>
      <c r="G331" s="343">
        <v>0</v>
      </c>
      <c r="H331" s="289" t="s">
        <v>276</v>
      </c>
      <c r="I331" s="289"/>
      <c r="J331" s="290" t="s">
        <v>385</v>
      </c>
      <c r="K331" s="40"/>
      <c r="L331" s="40"/>
      <c r="M331" s="40"/>
      <c r="N331" s="40"/>
      <c r="O331" s="351"/>
      <c r="P331" s="267"/>
      <c r="Q331" s="40"/>
      <c r="R331" s="40"/>
      <c r="S331" s="40"/>
      <c r="T331" s="40"/>
      <c r="U331" s="40"/>
      <c r="V331" s="40"/>
      <c r="W331"/>
      <c r="X331"/>
    </row>
    <row r="332" spans="1:24" ht="15.75" customHeight="1" thickBot="1" x14ac:dyDescent="0.3">
      <c r="A332" s="586"/>
      <c r="B332" s="587"/>
      <c r="C332" s="532"/>
      <c r="D332" s="416" t="s">
        <v>221</v>
      </c>
      <c r="E332" s="285" t="s">
        <v>725</v>
      </c>
      <c r="F332" s="417" t="e">
        <f>(SUM(#REF!,#REF!,#REF!))*0.35/9</f>
        <v>#REF!</v>
      </c>
      <c r="G332" s="417">
        <v>0</v>
      </c>
      <c r="H332" s="285" t="s">
        <v>726</v>
      </c>
      <c r="I332" s="285" t="s">
        <v>727</v>
      </c>
      <c r="J332" s="286" t="s">
        <v>728</v>
      </c>
      <c r="K332" s="40"/>
      <c r="L332" s="40"/>
      <c r="M332" s="40"/>
      <c r="N332" s="40"/>
      <c r="O332" s="351"/>
      <c r="P332" s="267"/>
      <c r="Q332" s="40"/>
      <c r="R332" s="40"/>
      <c r="S332" s="40"/>
      <c r="T332" s="40"/>
      <c r="U332" s="40"/>
      <c r="V332" s="40"/>
      <c r="W332"/>
      <c r="X332"/>
    </row>
    <row r="333" spans="1:24" ht="15.75" customHeight="1" x14ac:dyDescent="0.25">
      <c r="A333" s="586"/>
      <c r="B333" s="587"/>
      <c r="C333" s="530" t="s">
        <v>218</v>
      </c>
      <c r="D333" s="178" t="s">
        <v>218</v>
      </c>
      <c r="E333" s="56" t="s">
        <v>729</v>
      </c>
      <c r="F333" s="85"/>
      <c r="G333" s="85">
        <v>0</v>
      </c>
      <c r="H333" s="56" t="s">
        <v>292</v>
      </c>
      <c r="I333" s="56" t="s">
        <v>730</v>
      </c>
      <c r="J333" s="57"/>
      <c r="K333" s="40"/>
      <c r="O333" s="351"/>
      <c r="P333" s="267">
        <f>O333*F333</f>
        <v>0</v>
      </c>
      <c r="W333"/>
      <c r="X333"/>
    </row>
    <row r="334" spans="1:24" ht="15.75" customHeight="1" x14ac:dyDescent="0.25">
      <c r="A334" s="586"/>
      <c r="B334" s="587"/>
      <c r="C334" s="533"/>
      <c r="D334" s="273" t="s">
        <v>221</v>
      </c>
      <c r="E334" s="289" t="s">
        <v>668</v>
      </c>
      <c r="F334" s="343"/>
      <c r="G334" s="343">
        <v>0</v>
      </c>
      <c r="H334" s="289" t="s">
        <v>276</v>
      </c>
      <c r="I334" s="56" t="s">
        <v>730</v>
      </c>
      <c r="J334" s="290"/>
      <c r="K334" s="40"/>
      <c r="O334" s="351"/>
      <c r="P334" s="267">
        <f>O334*F334</f>
        <v>0</v>
      </c>
      <c r="W334"/>
      <c r="X334"/>
    </row>
    <row r="335" spans="1:24" ht="15.75" customHeight="1" thickBot="1" x14ac:dyDescent="0.3">
      <c r="A335" s="586"/>
      <c r="B335" s="587"/>
      <c r="C335" s="533"/>
      <c r="D335" s="179" t="s">
        <v>218</v>
      </c>
      <c r="E335" s="60" t="s">
        <v>731</v>
      </c>
      <c r="F335" s="102"/>
      <c r="G335" s="102">
        <v>0</v>
      </c>
      <c r="H335" s="60" t="s">
        <v>292</v>
      </c>
      <c r="I335" s="60"/>
      <c r="J335" s="73"/>
      <c r="K335" s="40"/>
      <c r="O335" s="351"/>
      <c r="P335" s="267">
        <f>O335*F335</f>
        <v>0</v>
      </c>
      <c r="W335"/>
      <c r="X335"/>
    </row>
    <row r="336" spans="1:24" ht="15.75" customHeight="1" x14ac:dyDescent="0.25">
      <c r="A336" s="586"/>
      <c r="B336" s="586"/>
      <c r="C336" s="526" t="s">
        <v>732</v>
      </c>
      <c r="D336" s="281" t="s">
        <v>207</v>
      </c>
      <c r="E336" s="287" t="s">
        <v>733</v>
      </c>
      <c r="F336" s="342"/>
      <c r="G336" s="342">
        <v>0</v>
      </c>
      <c r="H336" s="287" t="s">
        <v>276</v>
      </c>
      <c r="I336" s="287" t="s">
        <v>734</v>
      </c>
      <c r="J336" s="288" t="s">
        <v>735</v>
      </c>
      <c r="O336" s="351"/>
      <c r="P336" s="267"/>
      <c r="W336"/>
      <c r="X336"/>
    </row>
    <row r="337" spans="1:24" ht="15.75" customHeight="1" x14ac:dyDescent="0.25">
      <c r="A337" s="586"/>
      <c r="B337" s="586"/>
      <c r="C337" s="527"/>
      <c r="D337" s="266" t="s">
        <v>207</v>
      </c>
      <c r="E337" s="289" t="s">
        <v>680</v>
      </c>
      <c r="F337" s="343"/>
      <c r="G337" s="343">
        <v>0</v>
      </c>
      <c r="H337" s="289" t="s">
        <v>276</v>
      </c>
      <c r="I337" s="289" t="s">
        <v>736</v>
      </c>
      <c r="J337" s="290" t="s">
        <v>735</v>
      </c>
      <c r="K337" s="264" t="s">
        <v>1172</v>
      </c>
      <c r="O337" s="351"/>
      <c r="P337" s="267"/>
      <c r="W337"/>
      <c r="X337"/>
    </row>
    <row r="338" spans="1:24" ht="15.75" customHeight="1" thickBot="1" x14ac:dyDescent="0.3">
      <c r="A338" s="586"/>
      <c r="B338" s="586"/>
      <c r="C338" s="590"/>
      <c r="D338" s="166" t="s">
        <v>207</v>
      </c>
      <c r="E338" s="60" t="s">
        <v>737</v>
      </c>
      <c r="F338" s="102"/>
      <c r="G338" s="102">
        <v>0</v>
      </c>
      <c r="H338" s="60" t="s">
        <v>276</v>
      </c>
      <c r="I338" s="60" t="s">
        <v>736</v>
      </c>
      <c r="J338" s="73" t="s">
        <v>735</v>
      </c>
      <c r="O338" s="351"/>
      <c r="P338" s="267"/>
      <c r="W338"/>
      <c r="X338"/>
    </row>
    <row r="339" spans="1:24" ht="15.75" customHeight="1" x14ac:dyDescent="0.25">
      <c r="A339" s="586"/>
      <c r="B339" s="586"/>
      <c r="C339" s="537" t="s">
        <v>738</v>
      </c>
      <c r="D339" s="281" t="s">
        <v>207</v>
      </c>
      <c r="E339" s="287" t="s">
        <v>739</v>
      </c>
      <c r="F339" s="342"/>
      <c r="G339" s="342">
        <v>0</v>
      </c>
      <c r="H339" s="287" t="s">
        <v>276</v>
      </c>
      <c r="I339" s="287" t="s">
        <v>738</v>
      </c>
      <c r="J339" s="418"/>
      <c r="O339" s="351"/>
      <c r="P339" s="267"/>
      <c r="W339"/>
      <c r="X339"/>
    </row>
    <row r="340" spans="1:24" ht="15.75" customHeight="1" x14ac:dyDescent="0.25">
      <c r="A340" s="586"/>
      <c r="B340" s="586"/>
      <c r="C340" s="538"/>
      <c r="D340" s="266" t="s">
        <v>207</v>
      </c>
      <c r="E340" s="289" t="s">
        <v>672</v>
      </c>
      <c r="F340" s="343"/>
      <c r="G340" s="343">
        <v>0</v>
      </c>
      <c r="H340" s="289" t="s">
        <v>276</v>
      </c>
      <c r="I340" s="289" t="s">
        <v>738</v>
      </c>
      <c r="J340" s="419"/>
      <c r="K340" s="40"/>
      <c r="O340" s="351">
        <v>5.37</v>
      </c>
      <c r="P340" s="267">
        <f>O340*F340</f>
        <v>0</v>
      </c>
      <c r="W340"/>
      <c r="X340"/>
    </row>
    <row r="341" spans="1:24" ht="15.75" customHeight="1" x14ac:dyDescent="0.25">
      <c r="A341" s="586"/>
      <c r="B341" s="586"/>
      <c r="C341" s="538"/>
      <c r="D341" s="266" t="s">
        <v>207</v>
      </c>
      <c r="E341" s="289" t="s">
        <v>740</v>
      </c>
      <c r="F341" s="343"/>
      <c r="G341" s="343">
        <v>0</v>
      </c>
      <c r="H341" s="289" t="s">
        <v>276</v>
      </c>
      <c r="I341" s="289" t="s">
        <v>738</v>
      </c>
      <c r="J341" s="419"/>
      <c r="K341" s="40"/>
      <c r="O341" s="351">
        <v>19.23</v>
      </c>
      <c r="P341" s="267">
        <f>O341*F341</f>
        <v>0</v>
      </c>
      <c r="W341"/>
      <c r="X341"/>
    </row>
    <row r="342" spans="1:24" ht="15.75" customHeight="1" x14ac:dyDescent="0.25">
      <c r="A342" s="586"/>
      <c r="B342" s="586"/>
      <c r="C342" s="538"/>
      <c r="D342" s="110" t="s">
        <v>421</v>
      </c>
      <c r="E342" s="280" t="s">
        <v>1173</v>
      </c>
      <c r="F342" s="343"/>
      <c r="G342" s="343">
        <v>0</v>
      </c>
      <c r="H342" s="289" t="s">
        <v>276</v>
      </c>
      <c r="I342" s="289" t="s">
        <v>741</v>
      </c>
      <c r="J342" s="180"/>
      <c r="K342" s="40"/>
      <c r="L342" s="40"/>
      <c r="M342" s="40"/>
      <c r="N342" s="40"/>
      <c r="O342" s="351"/>
      <c r="P342" s="267"/>
      <c r="Q342" s="40"/>
      <c r="R342" s="40"/>
      <c r="S342" s="40"/>
      <c r="T342" s="40"/>
      <c r="U342" s="40"/>
      <c r="V342" s="40"/>
      <c r="W342"/>
      <c r="X342"/>
    </row>
    <row r="343" spans="1:24" ht="15.75" customHeight="1" thickBot="1" x14ac:dyDescent="0.3">
      <c r="A343" s="586"/>
      <c r="B343" s="586"/>
      <c r="C343" s="539"/>
      <c r="D343" s="301" t="s">
        <v>421</v>
      </c>
      <c r="E343" s="300" t="s">
        <v>443</v>
      </c>
      <c r="F343" s="357"/>
      <c r="G343" s="357">
        <v>0</v>
      </c>
      <c r="H343" s="285" t="s">
        <v>276</v>
      </c>
      <c r="I343" s="285" t="s">
        <v>741</v>
      </c>
      <c r="J343" s="286"/>
      <c r="K343" s="40"/>
      <c r="O343" s="351"/>
      <c r="P343" s="267">
        <f>O343*F343</f>
        <v>0</v>
      </c>
      <c r="W343"/>
      <c r="X343"/>
    </row>
    <row r="344" spans="1:24" ht="15.75" customHeight="1" x14ac:dyDescent="0.25">
      <c r="A344" s="586"/>
      <c r="B344" s="587"/>
      <c r="C344" s="525" t="s">
        <v>743</v>
      </c>
      <c r="D344" s="97" t="s">
        <v>207</v>
      </c>
      <c r="E344" s="158" t="s">
        <v>733</v>
      </c>
      <c r="F344" s="85"/>
      <c r="G344" s="85">
        <v>0</v>
      </c>
      <c r="H344" s="56" t="s">
        <v>276</v>
      </c>
      <c r="I344" s="80" t="s">
        <v>744</v>
      </c>
      <c r="J344" s="57"/>
      <c r="K344" s="40"/>
      <c r="O344" s="351"/>
      <c r="P344" s="267"/>
      <c r="W344"/>
      <c r="X344"/>
    </row>
    <row r="345" spans="1:24" ht="15.75" customHeight="1" x14ac:dyDescent="0.25">
      <c r="A345" s="586"/>
      <c r="B345" s="587"/>
      <c r="C345" s="525"/>
      <c r="D345" s="266" t="s">
        <v>207</v>
      </c>
      <c r="E345" s="311" t="s">
        <v>680</v>
      </c>
      <c r="F345" s="343"/>
      <c r="G345" s="343">
        <v>0</v>
      </c>
      <c r="H345" s="289" t="s">
        <v>276</v>
      </c>
      <c r="I345" s="289" t="s">
        <v>744</v>
      </c>
      <c r="J345" s="290"/>
      <c r="K345" s="40"/>
      <c r="O345" s="351"/>
      <c r="P345" s="267"/>
      <c r="W345"/>
      <c r="X345"/>
    </row>
    <row r="346" spans="1:24" ht="15.75" customHeight="1" thickBot="1" x14ac:dyDescent="0.3">
      <c r="A346" s="586"/>
      <c r="B346" s="587"/>
      <c r="C346" s="551"/>
      <c r="D346" s="161" t="s">
        <v>215</v>
      </c>
      <c r="E346" s="308" t="s">
        <v>745</v>
      </c>
      <c r="F346" s="357"/>
      <c r="G346" s="357">
        <v>0</v>
      </c>
      <c r="H346" s="285" t="s">
        <v>276</v>
      </c>
      <c r="I346" s="285" t="s">
        <v>746</v>
      </c>
      <c r="J346" s="286" t="s">
        <v>747</v>
      </c>
      <c r="K346" s="40"/>
      <c r="O346" s="351"/>
      <c r="P346" s="267"/>
      <c r="W346"/>
      <c r="X346"/>
    </row>
    <row r="347" spans="1:24" ht="15.75" customHeight="1" x14ac:dyDescent="0.25">
      <c r="A347" s="586"/>
      <c r="B347" s="587"/>
      <c r="C347" s="530" t="s">
        <v>701</v>
      </c>
      <c r="D347" s="172" t="s">
        <v>207</v>
      </c>
      <c r="E347" s="145" t="s">
        <v>748</v>
      </c>
      <c r="F347" s="99"/>
      <c r="G347" s="99">
        <v>0</v>
      </c>
      <c r="H347" s="80" t="s">
        <v>276</v>
      </c>
      <c r="I347" s="80" t="s">
        <v>749</v>
      </c>
      <c r="J347" s="121"/>
      <c r="K347" s="40"/>
      <c r="O347" s="351">
        <v>5.37</v>
      </c>
      <c r="P347" s="267">
        <f>O347*F347</f>
        <v>0</v>
      </c>
      <c r="W347"/>
      <c r="X347"/>
    </row>
    <row r="348" spans="1:24" ht="15.75" customHeight="1" x14ac:dyDescent="0.25">
      <c r="A348" s="586"/>
      <c r="B348" s="587"/>
      <c r="C348" s="530"/>
      <c r="D348" s="266" t="s">
        <v>207</v>
      </c>
      <c r="E348" s="280" t="s">
        <v>748</v>
      </c>
      <c r="F348" s="343"/>
      <c r="G348" s="343">
        <v>0</v>
      </c>
      <c r="H348" s="289" t="s">
        <v>276</v>
      </c>
      <c r="I348" s="289" t="s">
        <v>749</v>
      </c>
      <c r="J348" s="290"/>
      <c r="K348" s="40"/>
      <c r="O348" s="351">
        <v>5.37</v>
      </c>
      <c r="P348" s="267">
        <f>O348*F348</f>
        <v>0</v>
      </c>
      <c r="W348"/>
      <c r="X348"/>
    </row>
    <row r="349" spans="1:24" ht="15.75" customHeight="1" x14ac:dyDescent="0.25">
      <c r="A349" s="586"/>
      <c r="B349" s="587"/>
      <c r="C349" s="530"/>
      <c r="D349" s="110" t="s">
        <v>421</v>
      </c>
      <c r="E349" s="280" t="s">
        <v>1173</v>
      </c>
      <c r="F349" s="359">
        <f>(F347+F351+F348)*20</f>
        <v>0</v>
      </c>
      <c r="G349" s="359">
        <v>0</v>
      </c>
      <c r="H349" s="289" t="s">
        <v>276</v>
      </c>
      <c r="I349" s="289" t="s">
        <v>749</v>
      </c>
      <c r="J349" s="290"/>
      <c r="K349" s="40"/>
      <c r="O349" s="351"/>
      <c r="P349" s="267">
        <f>O349*F349</f>
        <v>0</v>
      </c>
      <c r="W349"/>
      <c r="X349"/>
    </row>
    <row r="350" spans="1:24" ht="15.75" customHeight="1" x14ac:dyDescent="0.25">
      <c r="A350" s="586"/>
      <c r="B350" s="587"/>
      <c r="C350" s="530"/>
      <c r="D350" s="269" t="s">
        <v>215</v>
      </c>
      <c r="E350" s="280" t="s">
        <v>750</v>
      </c>
      <c r="F350" s="420">
        <v>1</v>
      </c>
      <c r="G350" s="420">
        <v>0</v>
      </c>
      <c r="H350" s="289" t="s">
        <v>276</v>
      </c>
      <c r="I350" s="289" t="s">
        <v>751</v>
      </c>
      <c r="J350" s="290" t="s">
        <v>752</v>
      </c>
      <c r="K350" s="40"/>
      <c r="O350" s="351"/>
      <c r="P350" s="267"/>
      <c r="W350"/>
      <c r="X350"/>
    </row>
    <row r="351" spans="1:24" ht="15.75" customHeight="1" x14ac:dyDescent="0.25">
      <c r="A351" s="586"/>
      <c r="B351" s="587"/>
      <c r="C351" s="530"/>
      <c r="D351" s="266" t="s">
        <v>207</v>
      </c>
      <c r="E351" s="280" t="s">
        <v>551</v>
      </c>
      <c r="F351" s="343"/>
      <c r="G351" s="343">
        <v>0</v>
      </c>
      <c r="H351" s="289" t="s">
        <v>276</v>
      </c>
      <c r="I351" s="289" t="s">
        <v>753</v>
      </c>
      <c r="J351" s="290"/>
      <c r="K351" s="40"/>
      <c r="O351" s="351">
        <v>6.05</v>
      </c>
      <c r="P351" s="267">
        <f>O351*F351</f>
        <v>0</v>
      </c>
      <c r="W351"/>
      <c r="X351"/>
    </row>
    <row r="352" spans="1:24" ht="15.75" customHeight="1" x14ac:dyDescent="0.25">
      <c r="A352" s="586"/>
      <c r="B352" s="587"/>
      <c r="C352" s="530"/>
      <c r="D352" s="266" t="s">
        <v>207</v>
      </c>
      <c r="E352" s="280" t="s">
        <v>1174</v>
      </c>
      <c r="F352" s="102"/>
      <c r="G352" s="102">
        <v>0</v>
      </c>
      <c r="H352" s="60" t="s">
        <v>276</v>
      </c>
      <c r="I352" s="60" t="s">
        <v>749</v>
      </c>
      <c r="J352" s="73"/>
      <c r="K352" s="40"/>
      <c r="O352" s="351"/>
      <c r="P352" s="267">
        <f>O352*F353</f>
        <v>0</v>
      </c>
      <c r="W352"/>
      <c r="X352"/>
    </row>
    <row r="353" spans="1:24" ht="15.75" customHeight="1" x14ac:dyDescent="0.25">
      <c r="A353" s="586"/>
      <c r="B353" s="587"/>
      <c r="C353" s="530"/>
      <c r="D353" s="104" t="s">
        <v>215</v>
      </c>
      <c r="E353" s="295" t="s">
        <v>339</v>
      </c>
      <c r="F353" s="93">
        <f>(F351+F352)*20</f>
        <v>0</v>
      </c>
      <c r="G353" s="93">
        <v>0</v>
      </c>
      <c r="H353" s="60" t="s">
        <v>276</v>
      </c>
      <c r="I353" s="60"/>
      <c r="J353" s="73"/>
      <c r="K353" s="40"/>
      <c r="L353" s="40"/>
      <c r="M353" s="40"/>
      <c r="N353" s="40"/>
      <c r="O353" s="351"/>
      <c r="P353" s="267"/>
      <c r="Q353" s="40"/>
      <c r="R353" s="40"/>
      <c r="S353" s="40"/>
      <c r="T353" s="40"/>
      <c r="U353" s="40"/>
      <c r="V353" s="40"/>
      <c r="W353"/>
      <c r="X353"/>
    </row>
    <row r="354" spans="1:24" ht="15.75" customHeight="1" x14ac:dyDescent="0.25">
      <c r="A354" s="586"/>
      <c r="B354" s="587"/>
      <c r="C354" s="530"/>
      <c r="D354" s="166" t="s">
        <v>207</v>
      </c>
      <c r="E354" s="86" t="s">
        <v>1163</v>
      </c>
      <c r="F354" s="102"/>
      <c r="G354" s="343">
        <v>0</v>
      </c>
      <c r="H354" s="60" t="s">
        <v>276</v>
      </c>
      <c r="I354" s="60" t="s">
        <v>722</v>
      </c>
      <c r="J354" s="73" t="s">
        <v>754</v>
      </c>
      <c r="K354" s="40"/>
      <c r="O354" s="351">
        <v>2.0299999999999998</v>
      </c>
      <c r="P354" s="267">
        <f>O354*F354</f>
        <v>0</v>
      </c>
      <c r="W354"/>
      <c r="X354"/>
    </row>
    <row r="355" spans="1:24" ht="15.75" customHeight="1" x14ac:dyDescent="0.25">
      <c r="A355" s="586"/>
      <c r="B355" s="587"/>
      <c r="C355" s="530"/>
      <c r="D355" s="104" t="s">
        <v>468</v>
      </c>
      <c r="E355" s="60" t="s">
        <v>498</v>
      </c>
      <c r="F355" s="93">
        <f>F354*20</f>
        <v>0</v>
      </c>
      <c r="G355" s="93">
        <v>0</v>
      </c>
      <c r="H355" s="60" t="s">
        <v>171</v>
      </c>
      <c r="I355" s="60" t="s">
        <v>755</v>
      </c>
      <c r="J355" s="73"/>
      <c r="K355" s="40"/>
      <c r="O355" s="351"/>
      <c r="P355" s="267">
        <f>O355*F355</f>
        <v>0</v>
      </c>
      <c r="W355"/>
      <c r="X355"/>
    </row>
    <row r="356" spans="1:24" ht="15.75" customHeight="1" x14ac:dyDescent="0.25">
      <c r="A356" s="586"/>
      <c r="B356" s="587"/>
      <c r="C356" s="530"/>
      <c r="D356" s="266" t="s">
        <v>207</v>
      </c>
      <c r="E356" s="280" t="s">
        <v>756</v>
      </c>
      <c r="F356" s="343"/>
      <c r="G356" s="343">
        <v>0</v>
      </c>
      <c r="H356" s="289" t="s">
        <v>171</v>
      </c>
      <c r="I356" s="289" t="s">
        <v>722</v>
      </c>
      <c r="J356" s="73"/>
      <c r="K356" s="40"/>
      <c r="O356" s="351"/>
      <c r="P356" s="267"/>
      <c r="W356"/>
      <c r="X356"/>
    </row>
    <row r="357" spans="1:24" ht="15.75" customHeight="1" x14ac:dyDescent="0.25">
      <c r="A357" s="586"/>
      <c r="B357" s="587"/>
      <c r="C357" s="530"/>
      <c r="D357" s="269" t="s">
        <v>215</v>
      </c>
      <c r="E357" s="311" t="s">
        <v>516</v>
      </c>
      <c r="F357" s="359">
        <f>F356*20</f>
        <v>0</v>
      </c>
      <c r="G357" s="359">
        <v>0</v>
      </c>
      <c r="H357" s="289" t="s">
        <v>276</v>
      </c>
      <c r="I357" s="289" t="s">
        <v>757</v>
      </c>
      <c r="J357" s="73"/>
      <c r="K357" s="40"/>
      <c r="O357" s="351"/>
      <c r="P357" s="267"/>
      <c r="W357"/>
      <c r="X357"/>
    </row>
    <row r="358" spans="1:24" ht="15.75" customHeight="1" x14ac:dyDescent="0.25">
      <c r="A358" s="586"/>
      <c r="B358" s="587"/>
      <c r="C358" s="530"/>
      <c r="D358" s="266" t="s">
        <v>207</v>
      </c>
      <c r="E358" s="95" t="s">
        <v>630</v>
      </c>
      <c r="F358" s="102"/>
      <c r="G358" s="102">
        <v>0</v>
      </c>
      <c r="H358" s="60" t="s">
        <v>276</v>
      </c>
      <c r="I358" s="60" t="s">
        <v>758</v>
      </c>
      <c r="J358" s="73"/>
      <c r="K358" s="40"/>
      <c r="L358" s="40"/>
      <c r="M358" s="40"/>
      <c r="N358" s="40"/>
      <c r="O358" s="351"/>
      <c r="P358" s="267"/>
      <c r="Q358" s="40"/>
      <c r="R358" s="40"/>
      <c r="S358" s="40"/>
      <c r="T358" s="40"/>
      <c r="U358" s="40"/>
      <c r="V358" s="40"/>
      <c r="W358"/>
      <c r="X358"/>
    </row>
    <row r="359" spans="1:24" ht="15.75" customHeight="1" thickBot="1" x14ac:dyDescent="0.3">
      <c r="A359" s="588"/>
      <c r="B359" s="589"/>
      <c r="C359" s="530"/>
      <c r="D359" s="104" t="s">
        <v>215</v>
      </c>
      <c r="E359" s="75" t="s">
        <v>679</v>
      </c>
      <c r="F359" s="93">
        <f>F358*20</f>
        <v>0</v>
      </c>
      <c r="G359" s="93">
        <v>0</v>
      </c>
      <c r="H359" s="75" t="s">
        <v>276</v>
      </c>
      <c r="I359" s="75" t="s">
        <v>759</v>
      </c>
      <c r="J359" s="88"/>
      <c r="K359" s="40"/>
      <c r="O359" s="351"/>
      <c r="P359" s="267"/>
      <c r="W359"/>
      <c r="X359"/>
    </row>
    <row r="360" spans="1:24" ht="15.75" customHeight="1" x14ac:dyDescent="0.25">
      <c r="A360" s="627" t="s">
        <v>760</v>
      </c>
      <c r="B360" s="578"/>
      <c r="C360" s="529" t="s">
        <v>761</v>
      </c>
      <c r="D360" s="281" t="s">
        <v>207</v>
      </c>
      <c r="E360" s="282" t="s">
        <v>691</v>
      </c>
      <c r="F360" s="342"/>
      <c r="G360" s="342">
        <v>0</v>
      </c>
      <c r="H360" s="287" t="s">
        <v>276</v>
      </c>
      <c r="I360" s="287" t="s">
        <v>762</v>
      </c>
      <c r="J360" s="288"/>
      <c r="K360" s="40"/>
      <c r="L360" s="40"/>
      <c r="M360" s="40"/>
      <c r="N360" s="40"/>
      <c r="O360" s="351"/>
      <c r="P360" s="267"/>
      <c r="Q360" s="40"/>
      <c r="R360" s="40"/>
      <c r="S360" s="40"/>
      <c r="T360" s="40"/>
      <c r="U360" s="40"/>
      <c r="V360" s="40"/>
      <c r="W360"/>
      <c r="X360"/>
    </row>
    <row r="361" spans="1:24" ht="15.75" customHeight="1" x14ac:dyDescent="0.25">
      <c r="A361" s="628"/>
      <c r="B361" s="629"/>
      <c r="C361" s="533"/>
      <c r="D361" s="266" t="s">
        <v>207</v>
      </c>
      <c r="E361" s="280" t="s">
        <v>672</v>
      </c>
      <c r="F361" s="343"/>
      <c r="G361" s="343">
        <v>0</v>
      </c>
      <c r="H361" s="289" t="s">
        <v>276</v>
      </c>
      <c r="I361" s="289" t="s">
        <v>763</v>
      </c>
      <c r="J361" s="290"/>
      <c r="K361" s="40"/>
      <c r="O361" s="351">
        <v>8.4</v>
      </c>
      <c r="P361" s="267">
        <f t="shared" ref="P361:P366" si="5">O361*F361</f>
        <v>0</v>
      </c>
      <c r="W361"/>
      <c r="X361"/>
    </row>
    <row r="362" spans="1:24" ht="15.75" customHeight="1" x14ac:dyDescent="0.25">
      <c r="A362" s="628"/>
      <c r="B362" s="629"/>
      <c r="C362" s="533"/>
      <c r="D362" s="266" t="s">
        <v>207</v>
      </c>
      <c r="E362" s="280" t="s">
        <v>688</v>
      </c>
      <c r="F362" s="343"/>
      <c r="G362" s="343">
        <v>0</v>
      </c>
      <c r="H362" s="289" t="s">
        <v>276</v>
      </c>
      <c r="I362" s="289" t="s">
        <v>763</v>
      </c>
      <c r="J362" s="290"/>
      <c r="K362" s="40"/>
      <c r="O362" s="351">
        <v>5.37</v>
      </c>
      <c r="P362" s="267">
        <f t="shared" si="5"/>
        <v>0</v>
      </c>
      <c r="W362"/>
      <c r="X362"/>
    </row>
    <row r="363" spans="1:24" ht="15.75" customHeight="1" x14ac:dyDescent="0.25">
      <c r="A363" s="628"/>
      <c r="B363" s="629"/>
      <c r="C363" s="533"/>
      <c r="D363" s="327" t="s">
        <v>314</v>
      </c>
      <c r="E363" s="328" t="s">
        <v>315</v>
      </c>
      <c r="F363" s="359">
        <f>[1]Проёмы!C23</f>
        <v>14</v>
      </c>
      <c r="G363" s="375">
        <v>0</v>
      </c>
      <c r="H363" s="289" t="s">
        <v>239</v>
      </c>
      <c r="I363" s="280" t="s">
        <v>764</v>
      </c>
      <c r="J363" s="316" t="s">
        <v>765</v>
      </c>
      <c r="K363" s="40"/>
      <c r="O363" s="351"/>
      <c r="P363" s="267">
        <f t="shared" si="5"/>
        <v>0</v>
      </c>
      <c r="W363"/>
      <c r="X363"/>
    </row>
    <row r="364" spans="1:24" ht="15.75" customHeight="1" x14ac:dyDescent="0.25">
      <c r="A364" s="628"/>
      <c r="B364" s="629"/>
      <c r="C364" s="533"/>
      <c r="D364" s="327" t="s">
        <v>314</v>
      </c>
      <c r="E364" s="328" t="s">
        <v>766</v>
      </c>
      <c r="F364" s="359">
        <v>1</v>
      </c>
      <c r="G364" s="375">
        <v>0</v>
      </c>
      <c r="H364" s="289" t="s">
        <v>239</v>
      </c>
      <c r="I364" s="280"/>
      <c r="J364" s="316" t="s">
        <v>765</v>
      </c>
      <c r="K364" s="40"/>
      <c r="O364" s="351"/>
      <c r="P364" s="267">
        <f t="shared" si="5"/>
        <v>0</v>
      </c>
      <c r="W364"/>
      <c r="X364"/>
    </row>
    <row r="365" spans="1:24" ht="15.75" customHeight="1" x14ac:dyDescent="0.25">
      <c r="A365" s="628"/>
      <c r="B365" s="629"/>
      <c r="C365" s="533"/>
      <c r="D365" s="155" t="s">
        <v>586</v>
      </c>
      <c r="E365" s="295" t="s">
        <v>1175</v>
      </c>
      <c r="F365" s="421">
        <f>[1]Проёмы!C24</f>
        <v>13</v>
      </c>
      <c r="G365" s="375">
        <v>0</v>
      </c>
      <c r="H365" s="289" t="s">
        <v>276</v>
      </c>
      <c r="I365" s="280"/>
      <c r="J365" s="290"/>
      <c r="K365" s="40"/>
      <c r="O365" s="351"/>
      <c r="P365" s="267">
        <f t="shared" si="5"/>
        <v>0</v>
      </c>
      <c r="W365"/>
      <c r="X365"/>
    </row>
    <row r="366" spans="1:24" ht="15.75" customHeight="1" x14ac:dyDescent="0.25">
      <c r="A366" s="628"/>
      <c r="B366" s="629"/>
      <c r="C366" s="533"/>
      <c r="D366" s="274" t="s">
        <v>223</v>
      </c>
      <c r="E366" s="295" t="s">
        <v>767</v>
      </c>
      <c r="F366" s="359">
        <f>[1]Проёмы!C25</f>
        <v>1</v>
      </c>
      <c r="G366" s="375">
        <v>0</v>
      </c>
      <c r="H366" s="289" t="s">
        <v>276</v>
      </c>
      <c r="I366" s="289"/>
      <c r="J366" s="290"/>
      <c r="K366" s="40"/>
      <c r="O366" s="351"/>
      <c r="P366" s="267">
        <f t="shared" si="5"/>
        <v>0</v>
      </c>
      <c r="W366"/>
      <c r="X366"/>
    </row>
    <row r="367" spans="1:24" ht="15.75" customHeight="1" x14ac:dyDescent="0.25">
      <c r="A367" s="628"/>
      <c r="B367" s="629"/>
      <c r="C367" s="533"/>
      <c r="D367" s="327" t="s">
        <v>314</v>
      </c>
      <c r="E367" s="295" t="s">
        <v>153</v>
      </c>
      <c r="F367" s="359">
        <v>10</v>
      </c>
      <c r="G367" s="375">
        <v>0</v>
      </c>
      <c r="H367" s="289" t="s">
        <v>237</v>
      </c>
      <c r="I367" s="289" t="s">
        <v>768</v>
      </c>
      <c r="J367" s="290" t="s">
        <v>769</v>
      </c>
      <c r="K367" s="40"/>
      <c r="L367" s="40">
        <v>1</v>
      </c>
      <c r="M367" s="40"/>
      <c r="N367" s="40"/>
      <c r="O367" s="351"/>
      <c r="P367" s="267"/>
      <c r="Q367" s="40"/>
      <c r="R367" s="40"/>
      <c r="S367" s="40"/>
      <c r="T367" s="40"/>
      <c r="U367" s="40"/>
      <c r="V367" s="40"/>
      <c r="W367"/>
      <c r="X367"/>
    </row>
    <row r="368" spans="1:24" ht="15.75" customHeight="1" x14ac:dyDescent="0.25">
      <c r="A368" s="628"/>
      <c r="B368" s="629"/>
      <c r="C368" s="533"/>
      <c r="D368" s="327" t="s">
        <v>314</v>
      </c>
      <c r="E368" s="295" t="s">
        <v>154</v>
      </c>
      <c r="F368" s="359">
        <v>10</v>
      </c>
      <c r="G368" s="375">
        <v>0</v>
      </c>
      <c r="H368" s="289" t="s">
        <v>477</v>
      </c>
      <c r="I368" s="289" t="s">
        <v>770</v>
      </c>
      <c r="J368" s="290" t="s">
        <v>769</v>
      </c>
      <c r="K368" s="40"/>
      <c r="L368" s="40">
        <v>1</v>
      </c>
      <c r="M368" s="40"/>
      <c r="N368" s="40"/>
      <c r="O368" s="351"/>
      <c r="P368" s="267"/>
      <c r="Q368" s="40"/>
      <c r="R368" s="40"/>
      <c r="S368" s="40"/>
      <c r="T368" s="40"/>
      <c r="U368" s="40"/>
      <c r="V368" s="40"/>
      <c r="W368"/>
      <c r="X368"/>
    </row>
    <row r="369" spans="1:24" ht="15.75" customHeight="1" x14ac:dyDescent="0.25">
      <c r="A369" s="628"/>
      <c r="B369" s="629"/>
      <c r="C369" s="533"/>
      <c r="D369" s="269" t="s">
        <v>215</v>
      </c>
      <c r="E369" s="295" t="s">
        <v>771</v>
      </c>
      <c r="F369" s="344">
        <v>1</v>
      </c>
      <c r="G369" s="344">
        <v>0</v>
      </c>
      <c r="H369" s="289" t="s">
        <v>276</v>
      </c>
      <c r="I369" s="289" t="s">
        <v>772</v>
      </c>
      <c r="J369" s="290"/>
      <c r="K369" s="40"/>
      <c r="O369" s="351"/>
      <c r="P369" s="267">
        <f>O369*F369</f>
        <v>0</v>
      </c>
      <c r="W369"/>
      <c r="X369"/>
    </row>
    <row r="370" spans="1:24" ht="15.75" customHeight="1" x14ac:dyDescent="0.25">
      <c r="A370" s="628"/>
      <c r="B370" s="629"/>
      <c r="C370" s="533"/>
      <c r="D370" s="110" t="s">
        <v>421</v>
      </c>
      <c r="E370" s="295" t="s">
        <v>583</v>
      </c>
      <c r="F370" s="359">
        <f>(F361+F362+F360)*30</f>
        <v>0</v>
      </c>
      <c r="G370" s="359">
        <v>0</v>
      </c>
      <c r="H370" s="289" t="s">
        <v>276</v>
      </c>
      <c r="I370" s="289" t="s">
        <v>773</v>
      </c>
      <c r="J370" s="290"/>
      <c r="K370" s="40"/>
      <c r="O370" s="351"/>
      <c r="P370" s="267">
        <f>O370*F370</f>
        <v>0</v>
      </c>
      <c r="W370"/>
      <c r="X370"/>
    </row>
    <row r="371" spans="1:24" ht="15.75" customHeight="1" x14ac:dyDescent="0.25">
      <c r="A371" s="628"/>
      <c r="B371" s="629"/>
      <c r="C371" s="533"/>
      <c r="D371" s="269" t="s">
        <v>215</v>
      </c>
      <c r="E371" s="295" t="s">
        <v>1176</v>
      </c>
      <c r="F371" s="359">
        <f>ROUNDUP([1]Проёмы!C29,0)</f>
        <v>87</v>
      </c>
      <c r="G371" s="359">
        <v>0</v>
      </c>
      <c r="H371" s="289" t="s">
        <v>276</v>
      </c>
      <c r="I371" s="289" t="s">
        <v>774</v>
      </c>
      <c r="J371" s="290"/>
      <c r="K371" s="40"/>
      <c r="O371" s="351"/>
      <c r="P371" s="267">
        <f>O371*F371</f>
        <v>0</v>
      </c>
      <c r="W371"/>
      <c r="X371"/>
    </row>
    <row r="372" spans="1:24" ht="15.75" customHeight="1" x14ac:dyDescent="0.25">
      <c r="A372" s="628"/>
      <c r="B372" s="629"/>
      <c r="C372" s="533"/>
      <c r="D372" s="269" t="s">
        <v>215</v>
      </c>
      <c r="E372" s="295" t="s">
        <v>389</v>
      </c>
      <c r="F372" s="359">
        <f>[1]Проёмы!C27</f>
        <v>130</v>
      </c>
      <c r="G372" s="359">
        <v>0</v>
      </c>
      <c r="H372" s="289" t="s">
        <v>276</v>
      </c>
      <c r="I372" s="289" t="s">
        <v>775</v>
      </c>
      <c r="J372" s="290" t="s">
        <v>776</v>
      </c>
      <c r="K372" s="40"/>
      <c r="O372" s="351"/>
      <c r="P372" s="267">
        <f>O372*F372</f>
        <v>0</v>
      </c>
      <c r="W372"/>
      <c r="X372"/>
    </row>
    <row r="373" spans="1:24" ht="15.75" customHeight="1" x14ac:dyDescent="0.25">
      <c r="A373" s="628"/>
      <c r="B373" s="629"/>
      <c r="C373" s="533"/>
      <c r="D373" s="269" t="s">
        <v>215</v>
      </c>
      <c r="E373" s="295" t="s">
        <v>389</v>
      </c>
      <c r="F373" s="359">
        <f>[1]Проёмы!C28</f>
        <v>10</v>
      </c>
      <c r="G373" s="359">
        <v>0</v>
      </c>
      <c r="H373" s="289" t="s">
        <v>276</v>
      </c>
      <c r="I373" s="289" t="s">
        <v>777</v>
      </c>
      <c r="J373" s="290" t="s">
        <v>778</v>
      </c>
      <c r="K373" s="40"/>
      <c r="O373" s="351"/>
      <c r="P373" s="267">
        <f>O373*F373</f>
        <v>0</v>
      </c>
      <c r="W373"/>
      <c r="X373"/>
    </row>
    <row r="374" spans="1:24" ht="15.75" customHeight="1" x14ac:dyDescent="0.25">
      <c r="A374" s="628"/>
      <c r="B374" s="629"/>
      <c r="C374" s="533"/>
      <c r="D374" s="273" t="s">
        <v>221</v>
      </c>
      <c r="E374" s="295" t="s">
        <v>1177</v>
      </c>
      <c r="F374" s="359">
        <f>F372</f>
        <v>130</v>
      </c>
      <c r="G374" s="359">
        <v>0</v>
      </c>
      <c r="H374" s="289" t="s">
        <v>276</v>
      </c>
      <c r="I374" s="289"/>
      <c r="J374" s="290"/>
      <c r="K374" s="40"/>
      <c r="L374" s="40">
        <v>1</v>
      </c>
      <c r="M374" s="40"/>
      <c r="N374" s="40"/>
      <c r="O374" s="351"/>
      <c r="P374" s="267"/>
      <c r="Q374" s="40"/>
      <c r="R374" s="40"/>
      <c r="S374" s="40"/>
      <c r="T374" s="40"/>
      <c r="U374" s="40"/>
      <c r="V374" s="40"/>
      <c r="W374"/>
      <c r="X374"/>
    </row>
    <row r="375" spans="1:24" ht="15.75" customHeight="1" x14ac:dyDescent="0.25">
      <c r="A375" s="628"/>
      <c r="B375" s="629"/>
      <c r="C375" s="533"/>
      <c r="D375" s="274" t="s">
        <v>223</v>
      </c>
      <c r="E375" s="280" t="s">
        <v>779</v>
      </c>
      <c r="F375" s="343"/>
      <c r="G375" s="343">
        <v>0</v>
      </c>
      <c r="H375" s="289" t="s">
        <v>276</v>
      </c>
      <c r="I375" s="289"/>
      <c r="J375" s="290"/>
      <c r="K375" s="40"/>
      <c r="O375" s="351"/>
      <c r="P375" s="267">
        <f t="shared" ref="P375:P379" si="6">O375*F375</f>
        <v>0</v>
      </c>
      <c r="W375"/>
      <c r="X375"/>
    </row>
    <row r="376" spans="1:24" ht="15.75" customHeight="1" x14ac:dyDescent="0.25">
      <c r="A376" s="628"/>
      <c r="B376" s="629"/>
      <c r="C376" s="533"/>
      <c r="D376" s="266" t="s">
        <v>207</v>
      </c>
      <c r="E376" s="280" t="s">
        <v>780</v>
      </c>
      <c r="F376" s="343"/>
      <c r="G376" s="343">
        <v>0</v>
      </c>
      <c r="H376" s="289" t="s">
        <v>276</v>
      </c>
      <c r="I376" s="289"/>
      <c r="J376" s="290"/>
      <c r="K376" s="40"/>
      <c r="O376" s="351"/>
      <c r="P376" s="267">
        <f t="shared" si="6"/>
        <v>0</v>
      </c>
      <c r="W376"/>
      <c r="X376"/>
    </row>
    <row r="377" spans="1:24" ht="15.75" customHeight="1" x14ac:dyDescent="0.25">
      <c r="A377" s="628"/>
      <c r="B377" s="629"/>
      <c r="C377" s="533"/>
      <c r="D377" s="274" t="s">
        <v>223</v>
      </c>
      <c r="E377" s="280" t="s">
        <v>781</v>
      </c>
      <c r="F377" s="344">
        <v>1</v>
      </c>
      <c r="G377" s="344">
        <v>0</v>
      </c>
      <c r="H377" s="289" t="s">
        <v>276</v>
      </c>
      <c r="I377" s="289"/>
      <c r="J377" s="290"/>
      <c r="K377" s="40"/>
      <c r="O377" s="351"/>
      <c r="P377" s="267">
        <f t="shared" si="6"/>
        <v>0</v>
      </c>
      <c r="W377"/>
      <c r="X377"/>
    </row>
    <row r="378" spans="1:24" ht="15.75" customHeight="1" thickBot="1" x14ac:dyDescent="0.3">
      <c r="A378" s="628"/>
      <c r="B378" s="629"/>
      <c r="C378" s="533"/>
      <c r="D378" s="274" t="s">
        <v>223</v>
      </c>
      <c r="E378" s="280" t="s">
        <v>782</v>
      </c>
      <c r="F378" s="343"/>
      <c r="G378" s="343">
        <v>0</v>
      </c>
      <c r="H378" s="289" t="s">
        <v>276</v>
      </c>
      <c r="I378" s="289"/>
      <c r="J378" s="290"/>
      <c r="K378" s="40"/>
      <c r="O378" s="351"/>
      <c r="P378" s="267">
        <f t="shared" si="6"/>
        <v>0</v>
      </c>
      <c r="W378"/>
      <c r="X378"/>
    </row>
    <row r="379" spans="1:24" ht="15.75" customHeight="1" thickBot="1" x14ac:dyDescent="0.3">
      <c r="A379" s="154" t="s">
        <v>783</v>
      </c>
      <c r="B379" s="154"/>
      <c r="C379" s="529" t="s">
        <v>1178</v>
      </c>
      <c r="D379" s="281" t="s">
        <v>207</v>
      </c>
      <c r="E379" s="282" t="s">
        <v>785</v>
      </c>
      <c r="F379" s="342"/>
      <c r="G379" s="342">
        <v>0</v>
      </c>
      <c r="H379" s="282" t="s">
        <v>276</v>
      </c>
      <c r="I379" s="282" t="s">
        <v>786</v>
      </c>
      <c r="J379" s="313"/>
      <c r="K379" s="40"/>
      <c r="O379" s="351">
        <v>7.49</v>
      </c>
      <c r="P379" s="267">
        <f t="shared" si="6"/>
        <v>0</v>
      </c>
      <c r="W379"/>
      <c r="X379"/>
    </row>
    <row r="380" spans="1:24" ht="15.75" customHeight="1" x14ac:dyDescent="0.25">
      <c r="A380" s="584" t="s">
        <v>783</v>
      </c>
      <c r="B380" s="585"/>
      <c r="C380" s="530"/>
      <c r="D380" s="269" t="s">
        <v>215</v>
      </c>
      <c r="E380" s="311" t="s">
        <v>745</v>
      </c>
      <c r="F380" s="375">
        <f>F379*12</f>
        <v>0</v>
      </c>
      <c r="G380" s="375">
        <v>0</v>
      </c>
      <c r="H380" s="280" t="s">
        <v>276</v>
      </c>
      <c r="I380" s="280" t="s">
        <v>787</v>
      </c>
      <c r="J380" s="316" t="s">
        <v>788</v>
      </c>
      <c r="K380" s="40"/>
      <c r="O380" s="351"/>
      <c r="P380" s="267"/>
      <c r="W380"/>
      <c r="X380"/>
    </row>
    <row r="381" spans="1:24" ht="15.75" customHeight="1" thickBot="1" x14ac:dyDescent="0.3">
      <c r="A381" s="586"/>
      <c r="B381" s="587"/>
      <c r="C381" s="532"/>
      <c r="D381" s="161" t="s">
        <v>215</v>
      </c>
      <c r="E381" s="136" t="s">
        <v>389</v>
      </c>
      <c r="F381" s="181">
        <f>F379*12</f>
        <v>0</v>
      </c>
      <c r="G381" s="181">
        <v>0</v>
      </c>
      <c r="H381" s="124" t="s">
        <v>276</v>
      </c>
      <c r="I381" s="124" t="s">
        <v>787</v>
      </c>
      <c r="J381" s="314" t="s">
        <v>789</v>
      </c>
      <c r="K381" s="40"/>
      <c r="O381" s="351"/>
      <c r="P381" s="267">
        <f t="shared" ref="P381:P390" si="7">O381*F381</f>
        <v>0</v>
      </c>
      <c r="W381"/>
      <c r="X381"/>
    </row>
    <row r="382" spans="1:24" ht="15.75" customHeight="1" x14ac:dyDescent="0.25">
      <c r="A382" s="586"/>
      <c r="B382" s="587"/>
      <c r="C382" s="547" t="s">
        <v>790</v>
      </c>
      <c r="D382" s="281" t="s">
        <v>207</v>
      </c>
      <c r="E382" s="282" t="s">
        <v>785</v>
      </c>
      <c r="F382" s="342"/>
      <c r="G382" s="342">
        <v>0</v>
      </c>
      <c r="H382" s="282" t="s">
        <v>276</v>
      </c>
      <c r="I382" s="282" t="s">
        <v>791</v>
      </c>
      <c r="J382" s="313" t="s">
        <v>792</v>
      </c>
      <c r="K382" s="40"/>
      <c r="O382" s="351">
        <v>11.25</v>
      </c>
      <c r="P382" s="267">
        <f t="shared" si="7"/>
        <v>0</v>
      </c>
      <c r="W382"/>
      <c r="X382"/>
    </row>
    <row r="383" spans="1:24" ht="15.75" customHeight="1" thickBot="1" x14ac:dyDescent="0.3">
      <c r="A383" s="586"/>
      <c r="B383" s="587"/>
      <c r="C383" s="532"/>
      <c r="D383" s="283" t="s">
        <v>215</v>
      </c>
      <c r="E383" s="300" t="s">
        <v>1179</v>
      </c>
      <c r="F383" s="357"/>
      <c r="G383" s="357">
        <v>0</v>
      </c>
      <c r="H383" s="292" t="s">
        <v>276</v>
      </c>
      <c r="I383" s="292" t="s">
        <v>787</v>
      </c>
      <c r="J383" s="314" t="s">
        <v>793</v>
      </c>
      <c r="K383" s="40"/>
      <c r="O383" s="351"/>
      <c r="P383" s="267">
        <f t="shared" si="7"/>
        <v>0</v>
      </c>
      <c r="W383"/>
      <c r="X383"/>
    </row>
    <row r="384" spans="1:24" ht="15.75" customHeight="1" x14ac:dyDescent="0.25">
      <c r="A384" s="586"/>
      <c r="B384" s="587"/>
      <c r="C384" s="547" t="s">
        <v>794</v>
      </c>
      <c r="D384" s="298" t="s">
        <v>213</v>
      </c>
      <c r="E384" s="315" t="s">
        <v>795</v>
      </c>
      <c r="F384" s="342"/>
      <c r="G384" s="342">
        <v>0</v>
      </c>
      <c r="H384" s="282" t="s">
        <v>158</v>
      </c>
      <c r="I384" s="282" t="s">
        <v>796</v>
      </c>
      <c r="J384" s="313" t="s">
        <v>797</v>
      </c>
      <c r="K384" s="40"/>
      <c r="L384" s="264">
        <v>1</v>
      </c>
      <c r="O384" s="351"/>
      <c r="P384" s="267">
        <f t="shared" si="7"/>
        <v>0</v>
      </c>
      <c r="W384"/>
      <c r="X384"/>
    </row>
    <row r="385" spans="1:24" ht="15.75" customHeight="1" thickBot="1" x14ac:dyDescent="0.3">
      <c r="A385" s="586"/>
      <c r="B385" s="587"/>
      <c r="C385" s="532"/>
      <c r="D385" s="283" t="s">
        <v>215</v>
      </c>
      <c r="E385" s="300" t="s">
        <v>504</v>
      </c>
      <c r="F385" s="353">
        <f>F384*20</f>
        <v>0</v>
      </c>
      <c r="G385" s="353">
        <v>0</v>
      </c>
      <c r="H385" s="292" t="s">
        <v>276</v>
      </c>
      <c r="I385" s="292" t="s">
        <v>798</v>
      </c>
      <c r="J385" s="314"/>
      <c r="K385" s="40"/>
      <c r="O385" s="351"/>
      <c r="P385" s="267">
        <f t="shared" si="7"/>
        <v>0</v>
      </c>
      <c r="W385"/>
      <c r="X385"/>
    </row>
    <row r="386" spans="1:24" ht="15.75" customHeight="1" x14ac:dyDescent="0.25">
      <c r="A386" s="586"/>
      <c r="B386" s="587"/>
      <c r="C386" s="547" t="s">
        <v>799</v>
      </c>
      <c r="D386" s="298" t="s">
        <v>213</v>
      </c>
      <c r="E386" s="282" t="s">
        <v>539</v>
      </c>
      <c r="F386" s="342"/>
      <c r="G386" s="342">
        <v>0</v>
      </c>
      <c r="H386" s="282" t="s">
        <v>158</v>
      </c>
      <c r="I386" s="282" t="s">
        <v>800</v>
      </c>
      <c r="J386" s="313"/>
      <c r="K386" s="40"/>
      <c r="O386" s="351"/>
      <c r="P386" s="267">
        <f t="shared" si="7"/>
        <v>0</v>
      </c>
      <c r="W386"/>
      <c r="X386"/>
    </row>
    <row r="387" spans="1:24" ht="15.75" customHeight="1" x14ac:dyDescent="0.25">
      <c r="A387" s="586"/>
      <c r="B387" s="587"/>
      <c r="C387" s="533"/>
      <c r="D387" s="269" t="s">
        <v>215</v>
      </c>
      <c r="E387" s="280" t="s">
        <v>504</v>
      </c>
      <c r="F387" s="359">
        <f>F386/0.9*10</f>
        <v>0</v>
      </c>
      <c r="G387" s="359">
        <v>0</v>
      </c>
      <c r="H387" s="280" t="s">
        <v>276</v>
      </c>
      <c r="I387" s="280" t="s">
        <v>801</v>
      </c>
      <c r="J387" s="316"/>
      <c r="K387" s="40"/>
      <c r="O387" s="351"/>
      <c r="P387" s="267">
        <f t="shared" si="7"/>
        <v>0</v>
      </c>
      <c r="W387"/>
      <c r="X387"/>
    </row>
    <row r="388" spans="1:24" ht="15.75" customHeight="1" thickBot="1" x14ac:dyDescent="0.3">
      <c r="A388" s="586"/>
      <c r="B388" s="587"/>
      <c r="C388" s="532"/>
      <c r="D388" s="133" t="s">
        <v>290</v>
      </c>
      <c r="E388" s="292" t="s">
        <v>542</v>
      </c>
      <c r="F388" s="353">
        <f>ROUNDUP(F386/1.5*1.1*9/600*1.2,0)</f>
        <v>0</v>
      </c>
      <c r="G388" s="353">
        <v>0</v>
      </c>
      <c r="H388" s="292" t="s">
        <v>543</v>
      </c>
      <c r="I388" s="292" t="s">
        <v>801</v>
      </c>
      <c r="J388" s="314"/>
      <c r="K388" s="40"/>
      <c r="O388" s="351"/>
      <c r="P388" s="267">
        <f t="shared" si="7"/>
        <v>0</v>
      </c>
      <c r="W388"/>
      <c r="X388"/>
    </row>
    <row r="389" spans="1:24" ht="15.75" customHeight="1" thickBot="1" x14ac:dyDescent="0.3">
      <c r="A389" s="586"/>
      <c r="B389" s="587"/>
      <c r="C389" s="547" t="s">
        <v>802</v>
      </c>
      <c r="D389" s="302" t="s">
        <v>290</v>
      </c>
      <c r="E389" s="282" t="s">
        <v>803</v>
      </c>
      <c r="F389" s="342"/>
      <c r="G389" s="342">
        <v>0</v>
      </c>
      <c r="H389" s="282" t="s">
        <v>276</v>
      </c>
      <c r="I389" s="282" t="s">
        <v>804</v>
      </c>
      <c r="J389" s="313"/>
      <c r="K389" s="40"/>
      <c r="O389" s="351"/>
      <c r="P389" s="267">
        <f t="shared" si="7"/>
        <v>0</v>
      </c>
      <c r="W389"/>
      <c r="X389"/>
    </row>
    <row r="390" spans="1:24" ht="15.75" customHeight="1" x14ac:dyDescent="0.25">
      <c r="A390" s="586"/>
      <c r="B390" s="587"/>
      <c r="C390" s="533"/>
      <c r="D390" s="298" t="s">
        <v>213</v>
      </c>
      <c r="E390" s="289" t="s">
        <v>805</v>
      </c>
      <c r="F390" s="422"/>
      <c r="G390" s="343">
        <v>0</v>
      </c>
      <c r="H390" s="280" t="s">
        <v>806</v>
      </c>
      <c r="I390" s="280" t="s">
        <v>807</v>
      </c>
      <c r="J390" s="316"/>
      <c r="K390" s="40"/>
      <c r="O390" s="351"/>
      <c r="P390" s="267">
        <f t="shared" si="7"/>
        <v>0</v>
      </c>
      <c r="W390"/>
      <c r="X390"/>
    </row>
    <row r="391" spans="1:24" ht="15.75" customHeight="1" x14ac:dyDescent="0.25">
      <c r="A391" s="586"/>
      <c r="B391" s="587"/>
      <c r="C391" s="533"/>
      <c r="D391" s="174" t="s">
        <v>808</v>
      </c>
      <c r="E391" s="289" t="s">
        <v>809</v>
      </c>
      <c r="F391" s="343"/>
      <c r="G391" s="343">
        <v>0</v>
      </c>
      <c r="H391" s="280" t="s">
        <v>237</v>
      </c>
      <c r="I391" s="280" t="s">
        <v>810</v>
      </c>
      <c r="J391" s="316" t="s">
        <v>811</v>
      </c>
      <c r="K391" s="40"/>
      <c r="L391" s="40"/>
      <c r="M391" s="40"/>
      <c r="N391" s="40"/>
      <c r="O391" s="351"/>
      <c r="P391" s="267"/>
      <c r="Q391" s="40"/>
      <c r="R391" s="40"/>
      <c r="S391" s="40"/>
      <c r="T391" s="40"/>
      <c r="U391" s="40"/>
      <c r="V391" s="40"/>
      <c r="W391"/>
      <c r="X391"/>
    </row>
    <row r="392" spans="1:24" ht="15.75" customHeight="1" thickBot="1" x14ac:dyDescent="0.3">
      <c r="A392" s="586"/>
      <c r="B392" s="587"/>
      <c r="C392" s="532"/>
      <c r="D392" s="423" t="s">
        <v>808</v>
      </c>
      <c r="E392" s="300" t="s">
        <v>812</v>
      </c>
      <c r="F392" s="357"/>
      <c r="G392" s="357">
        <v>0</v>
      </c>
      <c r="H392" s="292" t="s">
        <v>276</v>
      </c>
      <c r="I392" s="292" t="s">
        <v>813</v>
      </c>
      <c r="J392" s="314" t="s">
        <v>814</v>
      </c>
      <c r="K392" s="40"/>
      <c r="O392" s="351"/>
      <c r="P392" s="267">
        <f>O392*F392</f>
        <v>0</v>
      </c>
      <c r="W392"/>
      <c r="X392"/>
    </row>
    <row r="393" spans="1:24" ht="15.75" customHeight="1" x14ac:dyDescent="0.25">
      <c r="A393" s="586"/>
      <c r="B393" s="587"/>
      <c r="C393" s="526" t="s">
        <v>815</v>
      </c>
      <c r="D393" s="182" t="s">
        <v>421</v>
      </c>
      <c r="E393" s="287" t="s">
        <v>443</v>
      </c>
      <c r="F393" s="424"/>
      <c r="G393" s="342">
        <v>0</v>
      </c>
      <c r="H393" s="282" t="s">
        <v>276</v>
      </c>
      <c r="I393" s="109" t="s">
        <v>816</v>
      </c>
      <c r="J393" s="313"/>
      <c r="K393" s="40"/>
      <c r="O393" s="351"/>
      <c r="P393" s="267">
        <f>O393*F393</f>
        <v>0</v>
      </c>
      <c r="W393"/>
      <c r="X393"/>
    </row>
    <row r="394" spans="1:24" ht="15.75" customHeight="1" x14ac:dyDescent="0.25">
      <c r="A394" s="586"/>
      <c r="B394" s="587"/>
      <c r="C394" s="527"/>
      <c r="D394" s="110" t="s">
        <v>421</v>
      </c>
      <c r="E394" s="425" t="s">
        <v>817</v>
      </c>
      <c r="F394" s="426"/>
      <c r="G394" s="343">
        <v>0</v>
      </c>
      <c r="H394" s="280" t="s">
        <v>276</v>
      </c>
      <c r="I394" s="280" t="s">
        <v>816</v>
      </c>
      <c r="J394" s="316"/>
      <c r="K394" s="40"/>
      <c r="O394" s="351"/>
      <c r="P394" s="267">
        <f>O394*F394</f>
        <v>0</v>
      </c>
      <c r="W394"/>
      <c r="X394"/>
    </row>
    <row r="395" spans="1:24" ht="15.75" customHeight="1" x14ac:dyDescent="0.25">
      <c r="A395" s="586"/>
      <c r="B395" s="587"/>
      <c r="C395" s="590"/>
      <c r="D395" s="270" t="s">
        <v>290</v>
      </c>
      <c r="E395" s="295" t="s">
        <v>818</v>
      </c>
      <c r="F395" s="183"/>
      <c r="G395" s="343">
        <v>0</v>
      </c>
      <c r="H395" s="75" t="s">
        <v>276</v>
      </c>
      <c r="I395" s="280" t="s">
        <v>819</v>
      </c>
      <c r="J395" s="88" t="s">
        <v>820</v>
      </c>
      <c r="K395" s="40"/>
      <c r="O395" s="351"/>
      <c r="P395" s="267"/>
      <c r="W395"/>
      <c r="X395"/>
    </row>
    <row r="396" spans="1:24" ht="15.75" customHeight="1" thickBot="1" x14ac:dyDescent="0.3">
      <c r="A396" s="586"/>
      <c r="B396" s="587"/>
      <c r="C396" s="528"/>
      <c r="D396" s="301" t="s">
        <v>421</v>
      </c>
      <c r="E396" s="292" t="s">
        <v>674</v>
      </c>
      <c r="F396" s="427"/>
      <c r="G396" s="357">
        <v>0</v>
      </c>
      <c r="H396" s="292" t="s">
        <v>276</v>
      </c>
      <c r="I396" s="124" t="s">
        <v>816</v>
      </c>
      <c r="J396" s="314"/>
      <c r="K396" s="40"/>
      <c r="O396" s="351"/>
      <c r="P396" s="267"/>
      <c r="W396"/>
      <c r="X396"/>
    </row>
    <row r="397" spans="1:24" ht="15.75" customHeight="1" x14ac:dyDescent="0.25">
      <c r="A397" s="586"/>
      <c r="B397" s="587"/>
      <c r="C397" s="530" t="s">
        <v>821</v>
      </c>
      <c r="D397" s="132" t="s">
        <v>290</v>
      </c>
      <c r="E397" s="184" t="s">
        <v>524</v>
      </c>
      <c r="F397" s="85"/>
      <c r="G397" s="85">
        <v>0</v>
      </c>
      <c r="H397" s="56" t="s">
        <v>394</v>
      </c>
      <c r="I397" s="56" t="s">
        <v>822</v>
      </c>
      <c r="J397" s="57" t="s">
        <v>823</v>
      </c>
      <c r="K397" s="40"/>
      <c r="O397" s="351"/>
      <c r="P397" s="267">
        <f t="shared" ref="P397:P420" si="8">O397*F397</f>
        <v>0</v>
      </c>
      <c r="W397"/>
      <c r="X397"/>
    </row>
    <row r="398" spans="1:24" ht="15.75" customHeight="1" x14ac:dyDescent="0.25">
      <c r="A398" s="586"/>
      <c r="B398" s="587"/>
      <c r="C398" s="533"/>
      <c r="D398" s="132" t="s">
        <v>290</v>
      </c>
      <c r="E398" s="304" t="s">
        <v>526</v>
      </c>
      <c r="F398" s="343"/>
      <c r="G398" s="343">
        <v>0</v>
      </c>
      <c r="H398" s="289" t="s">
        <v>394</v>
      </c>
      <c r="I398" s="289" t="s">
        <v>822</v>
      </c>
      <c r="J398" s="290" t="s">
        <v>527</v>
      </c>
      <c r="K398" s="40"/>
      <c r="O398" s="351"/>
      <c r="P398" s="267">
        <f t="shared" si="8"/>
        <v>0</v>
      </c>
      <c r="W398"/>
      <c r="X398"/>
    </row>
    <row r="399" spans="1:24" ht="15.75" customHeight="1" x14ac:dyDescent="0.25">
      <c r="A399" s="586"/>
      <c r="B399" s="587"/>
      <c r="C399" s="533"/>
      <c r="D399" s="132" t="s">
        <v>290</v>
      </c>
      <c r="E399" s="304" t="s">
        <v>528</v>
      </c>
      <c r="F399" s="343"/>
      <c r="G399" s="343">
        <v>0</v>
      </c>
      <c r="H399" s="289" t="s">
        <v>394</v>
      </c>
      <c r="I399" s="289" t="s">
        <v>822</v>
      </c>
      <c r="J399" s="290"/>
      <c r="K399" s="40"/>
      <c r="O399" s="351"/>
      <c r="P399" s="267">
        <f t="shared" si="8"/>
        <v>0</v>
      </c>
      <c r="W399"/>
      <c r="X399"/>
    </row>
    <row r="400" spans="1:24" ht="15.75" customHeight="1" thickBot="1" x14ac:dyDescent="0.3">
      <c r="A400" s="586"/>
      <c r="B400" s="587"/>
      <c r="C400" s="533"/>
      <c r="D400" s="132" t="s">
        <v>290</v>
      </c>
      <c r="E400" s="304" t="s">
        <v>529</v>
      </c>
      <c r="F400" s="343"/>
      <c r="G400" s="343">
        <v>0</v>
      </c>
      <c r="H400" s="289" t="s">
        <v>394</v>
      </c>
      <c r="I400" s="289" t="s">
        <v>822</v>
      </c>
      <c r="J400" s="290"/>
      <c r="K400" s="40"/>
      <c r="O400" s="351"/>
      <c r="P400" s="267">
        <f t="shared" si="8"/>
        <v>0</v>
      </c>
      <c r="W400"/>
      <c r="X400"/>
    </row>
    <row r="401" spans="1:24" ht="15.75" customHeight="1" x14ac:dyDescent="0.25">
      <c r="A401" s="586"/>
      <c r="B401" s="587"/>
      <c r="C401" s="547" t="s">
        <v>824</v>
      </c>
      <c r="D401" s="281" t="s">
        <v>207</v>
      </c>
      <c r="E401" s="287" t="s">
        <v>348</v>
      </c>
      <c r="F401" s="342"/>
      <c r="G401" s="342">
        <v>0</v>
      </c>
      <c r="H401" s="287" t="s">
        <v>276</v>
      </c>
      <c r="I401" s="287" t="s">
        <v>825</v>
      </c>
      <c r="J401" s="313"/>
      <c r="K401" s="40"/>
      <c r="O401" s="351"/>
      <c r="P401" s="267">
        <f t="shared" si="8"/>
        <v>0</v>
      </c>
      <c r="W401"/>
      <c r="X401"/>
    </row>
    <row r="402" spans="1:24" ht="15.75" customHeight="1" x14ac:dyDescent="0.25">
      <c r="A402" s="586"/>
      <c r="B402" s="587"/>
      <c r="C402" s="555"/>
      <c r="D402" s="269" t="s">
        <v>215</v>
      </c>
      <c r="E402" s="311" t="s">
        <v>339</v>
      </c>
      <c r="F402" s="359">
        <f>F401*20</f>
        <v>0</v>
      </c>
      <c r="G402" s="359">
        <v>0</v>
      </c>
      <c r="H402" s="289" t="s">
        <v>276</v>
      </c>
      <c r="I402" s="289" t="s">
        <v>825</v>
      </c>
      <c r="J402" s="316"/>
      <c r="K402" s="40"/>
      <c r="O402" s="351"/>
      <c r="P402" s="267">
        <f t="shared" si="8"/>
        <v>0</v>
      </c>
      <c r="W402"/>
      <c r="X402"/>
    </row>
    <row r="403" spans="1:24" ht="15" customHeight="1" x14ac:dyDescent="0.25">
      <c r="A403" s="586"/>
      <c r="B403" s="587"/>
      <c r="C403" s="555"/>
      <c r="D403" s="266" t="s">
        <v>207</v>
      </c>
      <c r="E403" s="289" t="s">
        <v>312</v>
      </c>
      <c r="F403" s="343"/>
      <c r="G403" s="343">
        <v>0</v>
      </c>
      <c r="H403" s="289" t="s">
        <v>276</v>
      </c>
      <c r="I403" s="289" t="s">
        <v>825</v>
      </c>
      <c r="J403" s="316"/>
      <c r="K403" s="40"/>
      <c r="O403" s="351"/>
      <c r="P403" s="267">
        <f t="shared" si="8"/>
        <v>0</v>
      </c>
      <c r="W403"/>
      <c r="X403"/>
    </row>
    <row r="404" spans="1:24" ht="15.75" customHeight="1" x14ac:dyDescent="0.25">
      <c r="A404" s="586"/>
      <c r="B404" s="587"/>
      <c r="C404" s="555"/>
      <c r="D404" s="269" t="s">
        <v>215</v>
      </c>
      <c r="E404" s="311" t="s">
        <v>339</v>
      </c>
      <c r="F404" s="359">
        <f>F403*20</f>
        <v>0</v>
      </c>
      <c r="G404" s="359">
        <v>0</v>
      </c>
      <c r="H404" s="289" t="s">
        <v>276</v>
      </c>
      <c r="I404" s="289"/>
      <c r="J404" s="316"/>
      <c r="K404" s="40"/>
      <c r="O404" s="351"/>
      <c r="P404" s="267">
        <f t="shared" si="8"/>
        <v>0</v>
      </c>
      <c r="W404"/>
      <c r="X404"/>
    </row>
    <row r="405" spans="1:24" ht="15.75" customHeight="1" x14ac:dyDescent="0.25">
      <c r="A405" s="586"/>
      <c r="B405" s="587"/>
      <c r="C405" s="555"/>
      <c r="D405" s="97" t="s">
        <v>207</v>
      </c>
      <c r="E405" s="98" t="s">
        <v>310</v>
      </c>
      <c r="F405" s="85"/>
      <c r="G405" s="85">
        <v>0</v>
      </c>
      <c r="H405" s="56" t="s">
        <v>276</v>
      </c>
      <c r="I405" s="289" t="s">
        <v>825</v>
      </c>
      <c r="J405" s="57"/>
      <c r="K405" s="40"/>
      <c r="O405" s="351">
        <v>12.82</v>
      </c>
      <c r="P405" s="267">
        <f t="shared" si="8"/>
        <v>0</v>
      </c>
      <c r="W405"/>
      <c r="X405"/>
    </row>
    <row r="406" spans="1:24" ht="15.75" customHeight="1" thickBot="1" x14ac:dyDescent="0.3">
      <c r="A406" s="586"/>
      <c r="B406" s="587"/>
      <c r="C406" s="581"/>
      <c r="D406" s="269" t="s">
        <v>215</v>
      </c>
      <c r="E406" s="311" t="s">
        <v>339</v>
      </c>
      <c r="F406" s="359">
        <f>F405*20</f>
        <v>0</v>
      </c>
      <c r="G406" s="359">
        <v>0</v>
      </c>
      <c r="H406" s="289" t="s">
        <v>276</v>
      </c>
      <c r="I406" s="289" t="s">
        <v>825</v>
      </c>
      <c r="J406" s="290"/>
      <c r="K406" s="40"/>
      <c r="O406" s="351"/>
      <c r="P406" s="267">
        <f t="shared" si="8"/>
        <v>0</v>
      </c>
      <c r="W406"/>
      <c r="X406"/>
    </row>
    <row r="407" spans="1:24" ht="15.75" customHeight="1" x14ac:dyDescent="0.25">
      <c r="A407" s="586"/>
      <c r="B407" s="587"/>
      <c r="C407" s="529" t="s">
        <v>655</v>
      </c>
      <c r="D407" s="310" t="s">
        <v>205</v>
      </c>
      <c r="E407" s="287" t="s">
        <v>826</v>
      </c>
      <c r="F407" s="342"/>
      <c r="G407" s="342">
        <v>0</v>
      </c>
      <c r="H407" s="287" t="s">
        <v>394</v>
      </c>
      <c r="I407" s="287" t="s">
        <v>827</v>
      </c>
      <c r="J407" s="288"/>
      <c r="K407" s="40"/>
      <c r="O407" s="351">
        <v>43.759</v>
      </c>
      <c r="P407" s="267">
        <f t="shared" si="8"/>
        <v>0</v>
      </c>
      <c r="W407"/>
      <c r="X407"/>
    </row>
    <row r="408" spans="1:24" ht="15.75" customHeight="1" x14ac:dyDescent="0.25">
      <c r="A408" s="586"/>
      <c r="B408" s="587"/>
      <c r="C408" s="533"/>
      <c r="D408" s="265" t="s">
        <v>205</v>
      </c>
      <c r="E408" s="289" t="s">
        <v>828</v>
      </c>
      <c r="F408" s="343"/>
      <c r="G408" s="343">
        <v>0</v>
      </c>
      <c r="H408" s="289" t="s">
        <v>394</v>
      </c>
      <c r="I408" s="56" t="s">
        <v>827</v>
      </c>
      <c r="J408" s="290"/>
      <c r="K408" s="40"/>
      <c r="O408" s="351">
        <v>37.508000000000003</v>
      </c>
      <c r="P408" s="267">
        <f t="shared" si="8"/>
        <v>0</v>
      </c>
      <c r="W408"/>
      <c r="X408"/>
    </row>
    <row r="409" spans="1:24" ht="15.75" customHeight="1" x14ac:dyDescent="0.25">
      <c r="A409" s="586"/>
      <c r="B409" s="587"/>
      <c r="C409" s="533"/>
      <c r="D409" s="132" t="s">
        <v>290</v>
      </c>
      <c r="E409" s="311" t="s">
        <v>829</v>
      </c>
      <c r="F409" s="359">
        <f>ROUNDUP((F407+F408)*0.25,0)</f>
        <v>0</v>
      </c>
      <c r="G409" s="359">
        <v>0</v>
      </c>
      <c r="H409" s="289" t="s">
        <v>543</v>
      </c>
      <c r="I409" s="289" t="s">
        <v>830</v>
      </c>
      <c r="J409" s="290"/>
      <c r="K409" s="40"/>
      <c r="O409" s="351"/>
      <c r="P409" s="267">
        <f t="shared" si="8"/>
        <v>0</v>
      </c>
      <c r="Q409" s="185"/>
      <c r="W409"/>
      <c r="X409"/>
    </row>
    <row r="410" spans="1:24" ht="15.75" customHeight="1" x14ac:dyDescent="0.25">
      <c r="A410" s="586"/>
      <c r="B410" s="587"/>
      <c r="C410" s="533"/>
      <c r="D410" s="269" t="s">
        <v>215</v>
      </c>
      <c r="E410" s="311" t="s">
        <v>516</v>
      </c>
      <c r="F410" s="359">
        <f>(F407+F408)*50</f>
        <v>0</v>
      </c>
      <c r="G410" s="359">
        <v>0</v>
      </c>
      <c r="H410" s="289" t="s">
        <v>276</v>
      </c>
      <c r="I410" s="289" t="s">
        <v>831</v>
      </c>
      <c r="J410" s="290"/>
      <c r="K410" s="40"/>
      <c r="O410" s="351"/>
      <c r="P410" s="267">
        <f t="shared" si="8"/>
        <v>0</v>
      </c>
      <c r="W410"/>
      <c r="X410"/>
    </row>
    <row r="411" spans="1:24" ht="15.75" customHeight="1" thickBot="1" x14ac:dyDescent="0.3">
      <c r="A411" s="586"/>
      <c r="B411" s="587"/>
      <c r="C411" s="532"/>
      <c r="D411" s="269" t="s">
        <v>215</v>
      </c>
      <c r="E411" s="285" t="s">
        <v>679</v>
      </c>
      <c r="F411" s="359">
        <f>(F407+F408)*17</f>
        <v>0</v>
      </c>
      <c r="G411" s="428">
        <v>0</v>
      </c>
      <c r="H411" s="285" t="s">
        <v>276</v>
      </c>
      <c r="I411" s="126" t="s">
        <v>832</v>
      </c>
      <c r="J411" s="286"/>
      <c r="K411" s="40"/>
      <c r="O411" s="351"/>
      <c r="P411" s="267">
        <f t="shared" si="8"/>
        <v>0</v>
      </c>
      <c r="W411"/>
      <c r="X411"/>
    </row>
    <row r="412" spans="1:24" ht="15.75" customHeight="1" x14ac:dyDescent="0.25">
      <c r="A412" s="586"/>
      <c r="B412" s="587"/>
      <c r="C412" s="529" t="s">
        <v>833</v>
      </c>
      <c r="D412" s="310" t="s">
        <v>205</v>
      </c>
      <c r="E412" s="287" t="s">
        <v>834</v>
      </c>
      <c r="F412" s="342"/>
      <c r="G412" s="342">
        <v>0</v>
      </c>
      <c r="H412" s="287" t="s">
        <v>394</v>
      </c>
      <c r="I412" s="287" t="s">
        <v>827</v>
      </c>
      <c r="J412" s="288"/>
      <c r="K412" s="40"/>
      <c r="O412" s="351">
        <v>36.56</v>
      </c>
      <c r="P412" s="267">
        <f t="shared" si="8"/>
        <v>0</v>
      </c>
      <c r="W412"/>
      <c r="X412"/>
    </row>
    <row r="413" spans="1:24" ht="15.75" customHeight="1" x14ac:dyDescent="0.25">
      <c r="A413" s="586"/>
      <c r="B413" s="587"/>
      <c r="C413" s="533"/>
      <c r="D413" s="265" t="s">
        <v>205</v>
      </c>
      <c r="E413" s="289" t="s">
        <v>835</v>
      </c>
      <c r="F413" s="343"/>
      <c r="G413" s="343">
        <v>0</v>
      </c>
      <c r="H413" s="289" t="s">
        <v>394</v>
      </c>
      <c r="I413" s="80" t="s">
        <v>827</v>
      </c>
      <c r="J413" s="290"/>
      <c r="K413" s="40"/>
      <c r="O413" s="351">
        <v>44.69</v>
      </c>
      <c r="P413" s="267">
        <f t="shared" si="8"/>
        <v>0</v>
      </c>
      <c r="W413"/>
      <c r="X413"/>
    </row>
    <row r="414" spans="1:24" ht="15.75" customHeight="1" x14ac:dyDescent="0.25">
      <c r="A414" s="586"/>
      <c r="B414" s="587"/>
      <c r="C414" s="533"/>
      <c r="D414" s="132" t="s">
        <v>290</v>
      </c>
      <c r="E414" s="311" t="s">
        <v>829</v>
      </c>
      <c r="F414" s="359">
        <f>ROUNDUP((F412+F413)*0.25,0)</f>
        <v>0</v>
      </c>
      <c r="G414" s="359">
        <v>0</v>
      </c>
      <c r="H414" s="289" t="s">
        <v>543</v>
      </c>
      <c r="I414" s="289" t="s">
        <v>836</v>
      </c>
      <c r="J414" s="290"/>
      <c r="K414" s="40"/>
      <c r="O414" s="351"/>
      <c r="P414" s="267">
        <f t="shared" si="8"/>
        <v>0</v>
      </c>
      <c r="W414"/>
      <c r="X414"/>
    </row>
    <row r="415" spans="1:24" ht="15.75" customHeight="1" x14ac:dyDescent="0.25">
      <c r="A415" s="586"/>
      <c r="B415" s="587"/>
      <c r="C415" s="533"/>
      <c r="D415" s="269" t="s">
        <v>215</v>
      </c>
      <c r="E415" s="311" t="s">
        <v>516</v>
      </c>
      <c r="F415" s="359">
        <f>(F412+F413)*50</f>
        <v>0</v>
      </c>
      <c r="G415" s="359">
        <v>0</v>
      </c>
      <c r="H415" s="289" t="s">
        <v>276</v>
      </c>
      <c r="I415" s="289" t="s">
        <v>837</v>
      </c>
      <c r="J415" s="290"/>
      <c r="K415" s="40"/>
      <c r="O415" s="351"/>
      <c r="P415" s="267">
        <f t="shared" si="8"/>
        <v>0</v>
      </c>
      <c r="W415"/>
      <c r="X415"/>
    </row>
    <row r="416" spans="1:24" ht="15.75" customHeight="1" thickBot="1" x14ac:dyDescent="0.3">
      <c r="A416" s="588"/>
      <c r="B416" s="589"/>
      <c r="C416" s="532"/>
      <c r="D416" s="269" t="s">
        <v>215</v>
      </c>
      <c r="E416" s="285" t="s">
        <v>679</v>
      </c>
      <c r="F416" s="359">
        <f>(F412+F413)*17</f>
        <v>0</v>
      </c>
      <c r="G416" s="428">
        <v>0</v>
      </c>
      <c r="H416" s="285" t="s">
        <v>276</v>
      </c>
      <c r="I416" s="126" t="s">
        <v>838</v>
      </c>
      <c r="J416" s="286"/>
      <c r="K416" s="40"/>
      <c r="O416" s="351"/>
      <c r="P416" s="267">
        <f t="shared" si="8"/>
        <v>0</v>
      </c>
      <c r="W416"/>
      <c r="X416"/>
    </row>
    <row r="417" spans="1:24" ht="15.75" customHeight="1" x14ac:dyDescent="0.25">
      <c r="A417" s="627" t="s">
        <v>839</v>
      </c>
      <c r="B417" s="572"/>
      <c r="C417" s="529" t="s">
        <v>1180</v>
      </c>
      <c r="D417" s="281" t="s">
        <v>207</v>
      </c>
      <c r="E417" s="157" t="s">
        <v>630</v>
      </c>
      <c r="F417" s="342"/>
      <c r="G417" s="342">
        <v>0</v>
      </c>
      <c r="H417" s="282" t="s">
        <v>276</v>
      </c>
      <c r="I417" s="109" t="s">
        <v>841</v>
      </c>
      <c r="J417" s="313"/>
      <c r="K417" s="40"/>
      <c r="O417" s="351">
        <v>5.37</v>
      </c>
      <c r="P417" s="267">
        <f t="shared" si="8"/>
        <v>0</v>
      </c>
      <c r="W417"/>
      <c r="X417"/>
    </row>
    <row r="418" spans="1:24" ht="15.75" customHeight="1" thickBot="1" x14ac:dyDescent="0.3">
      <c r="A418" s="630"/>
      <c r="B418" s="574"/>
      <c r="C418" s="532"/>
      <c r="D418" s="283" t="s">
        <v>215</v>
      </c>
      <c r="E418" s="300" t="s">
        <v>679</v>
      </c>
      <c r="F418" s="377">
        <f>F417*20</f>
        <v>0</v>
      </c>
      <c r="G418" s="377">
        <v>0</v>
      </c>
      <c r="H418" s="292" t="s">
        <v>276</v>
      </c>
      <c r="I418" s="292" t="s">
        <v>842</v>
      </c>
      <c r="J418" s="314"/>
      <c r="K418" s="40"/>
      <c r="O418" s="351"/>
      <c r="P418" s="267">
        <f t="shared" si="8"/>
        <v>0</v>
      </c>
      <c r="W418"/>
      <c r="X418"/>
    </row>
    <row r="419" spans="1:24" ht="15.75" customHeight="1" x14ac:dyDescent="0.25">
      <c r="A419" s="630"/>
      <c r="B419" s="574"/>
      <c r="C419" s="530" t="s">
        <v>1180</v>
      </c>
      <c r="D419" s="97" t="s">
        <v>207</v>
      </c>
      <c r="E419" s="86" t="s">
        <v>551</v>
      </c>
      <c r="F419" s="85"/>
      <c r="G419" s="85">
        <v>0</v>
      </c>
      <c r="H419" s="86" t="s">
        <v>276</v>
      </c>
      <c r="I419" s="86" t="s">
        <v>1181</v>
      </c>
      <c r="J419" s="131"/>
      <c r="K419" s="40"/>
      <c r="O419" s="351">
        <v>6.07</v>
      </c>
      <c r="P419" s="267">
        <f t="shared" si="8"/>
        <v>0</v>
      </c>
      <c r="W419"/>
      <c r="X419"/>
    </row>
    <row r="420" spans="1:24" ht="15.75" customHeight="1" thickBot="1" x14ac:dyDescent="0.3">
      <c r="A420" s="630"/>
      <c r="B420" s="574"/>
      <c r="C420" s="533"/>
      <c r="D420" s="269" t="s">
        <v>215</v>
      </c>
      <c r="E420" s="295" t="s">
        <v>745</v>
      </c>
      <c r="F420" s="360">
        <f>F419*10</f>
        <v>0</v>
      </c>
      <c r="G420" s="360">
        <v>0</v>
      </c>
      <c r="H420" s="280" t="s">
        <v>276</v>
      </c>
      <c r="I420" s="280" t="s">
        <v>845</v>
      </c>
      <c r="J420" s="316"/>
      <c r="K420" s="40"/>
      <c r="O420" s="351"/>
      <c r="P420" s="267">
        <f t="shared" si="8"/>
        <v>0</v>
      </c>
      <c r="W420"/>
      <c r="X420"/>
    </row>
    <row r="421" spans="1:24" ht="15.75" customHeight="1" x14ac:dyDescent="0.25">
      <c r="A421" s="630"/>
      <c r="B421" s="574"/>
      <c r="C421" s="529" t="s">
        <v>846</v>
      </c>
      <c r="D421" s="281" t="s">
        <v>207</v>
      </c>
      <c r="E421" s="282" t="s">
        <v>312</v>
      </c>
      <c r="F421" s="342"/>
      <c r="G421" s="342">
        <v>0</v>
      </c>
      <c r="H421" s="282" t="s">
        <v>276</v>
      </c>
      <c r="I421" s="282" t="s">
        <v>844</v>
      </c>
      <c r="J421" s="313"/>
      <c r="K421" s="40"/>
      <c r="L421" s="40"/>
      <c r="M421" s="40"/>
      <c r="N421" s="40"/>
      <c r="O421" s="351"/>
      <c r="P421" s="267"/>
      <c r="Q421" s="40"/>
      <c r="R421" s="40"/>
      <c r="S421" s="40"/>
      <c r="T421" s="40"/>
      <c r="U421" s="40"/>
      <c r="V421" s="40"/>
      <c r="W421"/>
      <c r="X421"/>
    </row>
    <row r="422" spans="1:24" ht="15.75" customHeight="1" thickBot="1" x14ac:dyDescent="0.3">
      <c r="A422" s="630"/>
      <c r="B422" s="574"/>
      <c r="C422" s="532"/>
      <c r="D422" s="269" t="s">
        <v>215</v>
      </c>
      <c r="E422" s="300" t="s">
        <v>745</v>
      </c>
      <c r="F422" s="377">
        <f>F421*10</f>
        <v>0</v>
      </c>
      <c r="G422" s="377">
        <v>0</v>
      </c>
      <c r="H422" s="292" t="s">
        <v>276</v>
      </c>
      <c r="I422" s="292"/>
      <c r="J422" s="314"/>
      <c r="K422" s="40"/>
      <c r="L422" s="40"/>
      <c r="M422" s="40"/>
      <c r="N422" s="40"/>
      <c r="O422" s="351"/>
      <c r="P422" s="267"/>
      <c r="Q422" s="40"/>
      <c r="R422" s="40"/>
      <c r="S422" s="40"/>
      <c r="T422" s="40"/>
      <c r="U422" s="40"/>
      <c r="V422" s="40"/>
      <c r="W422"/>
      <c r="X422"/>
    </row>
    <row r="423" spans="1:24" ht="15.75" customHeight="1" x14ac:dyDescent="0.25">
      <c r="A423" s="630"/>
      <c r="B423" s="574"/>
      <c r="C423" s="530" t="s">
        <v>847</v>
      </c>
      <c r="D423" s="97" t="s">
        <v>207</v>
      </c>
      <c r="E423" s="157" t="s">
        <v>310</v>
      </c>
      <c r="F423" s="99"/>
      <c r="G423" s="99">
        <v>0</v>
      </c>
      <c r="H423" s="145" t="s">
        <v>276</v>
      </c>
      <c r="I423" s="282" t="s">
        <v>848</v>
      </c>
      <c r="J423" s="142"/>
      <c r="K423" s="40"/>
      <c r="O423" s="351"/>
      <c r="P423" s="267">
        <f t="shared" ref="P423:P426" si="9">O423*F423</f>
        <v>0</v>
      </c>
      <c r="W423"/>
      <c r="X423"/>
    </row>
    <row r="424" spans="1:24" ht="15.75" customHeight="1" thickBot="1" x14ac:dyDescent="0.3">
      <c r="A424" s="630"/>
      <c r="B424" s="574"/>
      <c r="C424" s="532"/>
      <c r="D424" s="269" t="s">
        <v>215</v>
      </c>
      <c r="E424" s="295" t="s">
        <v>745</v>
      </c>
      <c r="F424" s="359">
        <f>F423*10</f>
        <v>0</v>
      </c>
      <c r="G424" s="428">
        <v>0</v>
      </c>
      <c r="H424" s="285" t="s">
        <v>276</v>
      </c>
      <c r="I424" s="280" t="s">
        <v>845</v>
      </c>
      <c r="J424" s="286"/>
      <c r="K424" s="40"/>
      <c r="O424" s="351"/>
      <c r="P424" s="267">
        <f t="shared" si="9"/>
        <v>0</v>
      </c>
      <c r="W424"/>
      <c r="X424"/>
    </row>
    <row r="425" spans="1:24" ht="15.75" customHeight="1" x14ac:dyDescent="0.25">
      <c r="A425" s="630"/>
      <c r="B425" s="574"/>
      <c r="C425" s="529" t="s">
        <v>849</v>
      </c>
      <c r="D425" s="298" t="s">
        <v>213</v>
      </c>
      <c r="E425" s="315" t="s">
        <v>850</v>
      </c>
      <c r="F425" s="342"/>
      <c r="G425" s="342">
        <v>0</v>
      </c>
      <c r="H425" s="287" t="s">
        <v>158</v>
      </c>
      <c r="I425" s="287" t="s">
        <v>840</v>
      </c>
      <c r="J425" s="288" t="s">
        <v>851</v>
      </c>
      <c r="K425" s="40"/>
      <c r="O425" s="351"/>
      <c r="P425" s="267">
        <f t="shared" si="9"/>
        <v>0</v>
      </c>
      <c r="W425"/>
      <c r="X425"/>
    </row>
    <row r="426" spans="1:24" ht="15.75" customHeight="1" thickBot="1" x14ac:dyDescent="0.3">
      <c r="A426" s="630"/>
      <c r="B426" s="574"/>
      <c r="C426" s="533"/>
      <c r="D426" s="104" t="s">
        <v>215</v>
      </c>
      <c r="E426" s="75" t="s">
        <v>504</v>
      </c>
      <c r="F426" s="96">
        <f>F425/0.9*10</f>
        <v>0</v>
      </c>
      <c r="G426" s="96">
        <v>0</v>
      </c>
      <c r="H426" s="60" t="s">
        <v>276</v>
      </c>
      <c r="I426" s="60"/>
      <c r="J426" s="73"/>
      <c r="K426" s="40"/>
      <c r="O426" s="351"/>
      <c r="P426" s="267">
        <f t="shared" si="9"/>
        <v>0</v>
      </c>
      <c r="W426"/>
      <c r="X426"/>
    </row>
    <row r="427" spans="1:24" ht="15.75" customHeight="1" x14ac:dyDescent="0.25">
      <c r="A427" s="630"/>
      <c r="B427" s="574"/>
      <c r="C427" s="526" t="s">
        <v>815</v>
      </c>
      <c r="D427" s="429" t="s">
        <v>421</v>
      </c>
      <c r="E427" s="315" t="s">
        <v>852</v>
      </c>
      <c r="F427" s="342"/>
      <c r="G427" s="342">
        <v>0</v>
      </c>
      <c r="H427" s="287"/>
      <c r="I427" s="282" t="s">
        <v>853</v>
      </c>
      <c r="J427" s="288" t="s">
        <v>424</v>
      </c>
      <c r="K427" s="40"/>
      <c r="O427" s="351"/>
      <c r="P427" s="267"/>
      <c r="W427"/>
      <c r="X427"/>
    </row>
    <row r="428" spans="1:24" ht="15.75" customHeight="1" x14ac:dyDescent="0.25">
      <c r="A428" s="630"/>
      <c r="B428" s="574"/>
      <c r="C428" s="527"/>
      <c r="D428" s="334" t="s">
        <v>421</v>
      </c>
      <c r="E428" s="280" t="s">
        <v>674</v>
      </c>
      <c r="F428" s="426"/>
      <c r="G428" s="343">
        <v>0</v>
      </c>
      <c r="H428" s="280" t="s">
        <v>276</v>
      </c>
      <c r="I428" s="280" t="s">
        <v>854</v>
      </c>
      <c r="J428" s="316"/>
      <c r="K428" s="40"/>
      <c r="O428" s="351"/>
      <c r="P428" s="267"/>
      <c r="W428"/>
      <c r="X428"/>
    </row>
    <row r="429" spans="1:24" ht="15.75" customHeight="1" x14ac:dyDescent="0.25">
      <c r="A429" s="630"/>
      <c r="B429" s="574"/>
      <c r="C429" s="527"/>
      <c r="D429" s="334" t="s">
        <v>421</v>
      </c>
      <c r="E429" s="289" t="s">
        <v>443</v>
      </c>
      <c r="F429" s="426"/>
      <c r="G429" s="343">
        <v>0</v>
      </c>
      <c r="H429" s="280" t="s">
        <v>276</v>
      </c>
      <c r="I429" s="280" t="s">
        <v>854</v>
      </c>
      <c r="J429" s="316"/>
      <c r="K429" s="40"/>
      <c r="O429" s="351"/>
      <c r="P429" s="267"/>
      <c r="W429"/>
      <c r="X429"/>
    </row>
    <row r="430" spans="1:24" ht="15.75" customHeight="1" x14ac:dyDescent="0.25">
      <c r="A430" s="630"/>
      <c r="B430" s="574"/>
      <c r="C430" s="527"/>
      <c r="D430" s="334" t="s">
        <v>421</v>
      </c>
      <c r="E430" s="425" t="s">
        <v>817</v>
      </c>
      <c r="F430" s="426"/>
      <c r="G430" s="343">
        <v>0</v>
      </c>
      <c r="H430" s="280" t="s">
        <v>276</v>
      </c>
      <c r="I430" s="280" t="s">
        <v>854</v>
      </c>
      <c r="J430" s="316"/>
      <c r="K430" s="40"/>
      <c r="O430" s="351"/>
      <c r="P430" s="267"/>
      <c r="W430"/>
      <c r="X430"/>
    </row>
    <row r="431" spans="1:24" ht="15.75" customHeight="1" thickBot="1" x14ac:dyDescent="0.3">
      <c r="A431" s="630"/>
      <c r="B431" s="574"/>
      <c r="C431" s="528"/>
      <c r="D431" s="320" t="s">
        <v>290</v>
      </c>
      <c r="E431" s="300" t="s">
        <v>818</v>
      </c>
      <c r="F431" s="427"/>
      <c r="G431" s="357">
        <v>0</v>
      </c>
      <c r="H431" s="292" t="s">
        <v>276</v>
      </c>
      <c r="I431" s="292" t="s">
        <v>855</v>
      </c>
      <c r="J431" s="314" t="s">
        <v>820</v>
      </c>
      <c r="K431" s="40"/>
      <c r="O431" s="351"/>
      <c r="P431" s="267"/>
      <c r="W431"/>
      <c r="X431"/>
    </row>
    <row r="432" spans="1:24" ht="15.75" customHeight="1" x14ac:dyDescent="0.25">
      <c r="A432" s="630"/>
      <c r="B432" s="574"/>
      <c r="C432" s="547" t="s">
        <v>856</v>
      </c>
      <c r="D432" s="302" t="s">
        <v>290</v>
      </c>
      <c r="E432" s="315" t="s">
        <v>857</v>
      </c>
      <c r="F432" s="342"/>
      <c r="G432" s="342">
        <v>0</v>
      </c>
      <c r="H432" s="287" t="s">
        <v>394</v>
      </c>
      <c r="I432" s="287" t="s">
        <v>840</v>
      </c>
      <c r="J432" s="288"/>
      <c r="K432" s="40"/>
      <c r="O432" s="351"/>
      <c r="P432" s="267">
        <f t="shared" ref="P432" si="10">O432*F432</f>
        <v>0</v>
      </c>
      <c r="W432"/>
      <c r="X432"/>
    </row>
    <row r="433" spans="1:24" ht="15.75" customHeight="1" x14ac:dyDescent="0.25">
      <c r="A433" s="630"/>
      <c r="B433" s="574"/>
      <c r="C433" s="533"/>
      <c r="D433" s="270" t="s">
        <v>290</v>
      </c>
      <c r="E433" s="280" t="s">
        <v>859</v>
      </c>
      <c r="F433" s="343"/>
      <c r="G433" s="343">
        <v>0</v>
      </c>
      <c r="H433" s="289" t="s">
        <v>394</v>
      </c>
      <c r="I433" s="289" t="s">
        <v>860</v>
      </c>
      <c r="J433" s="290"/>
      <c r="K433" s="40"/>
      <c r="O433" s="351"/>
      <c r="P433" s="267">
        <f>O433*F434</f>
        <v>0</v>
      </c>
      <c r="W433"/>
      <c r="X433"/>
    </row>
    <row r="434" spans="1:24" ht="15.75" customHeight="1" thickBot="1" x14ac:dyDescent="0.3">
      <c r="A434" s="630"/>
      <c r="B434" s="574"/>
      <c r="C434" s="532"/>
      <c r="D434" s="133" t="s">
        <v>290</v>
      </c>
      <c r="E434" s="124" t="s">
        <v>542</v>
      </c>
      <c r="F434" s="125"/>
      <c r="G434" s="125">
        <v>0</v>
      </c>
      <c r="H434" s="126" t="s">
        <v>543</v>
      </c>
      <c r="I434" s="126" t="s">
        <v>858</v>
      </c>
      <c r="J434" s="163" t="s">
        <v>1182</v>
      </c>
      <c r="K434" s="40"/>
      <c r="O434" s="351"/>
      <c r="P434" s="267">
        <f>O434*F433</f>
        <v>0</v>
      </c>
      <c r="W434"/>
      <c r="X434"/>
    </row>
    <row r="435" spans="1:24" ht="15.75" customHeight="1" x14ac:dyDescent="0.25">
      <c r="A435" s="630"/>
      <c r="B435" s="574"/>
      <c r="C435" s="529" t="s">
        <v>821</v>
      </c>
      <c r="D435" s="302" t="s">
        <v>290</v>
      </c>
      <c r="E435" s="303" t="s">
        <v>524</v>
      </c>
      <c r="F435" s="342"/>
      <c r="G435" s="342">
        <v>0</v>
      </c>
      <c r="H435" s="287" t="s">
        <v>394</v>
      </c>
      <c r="I435" s="287" t="s">
        <v>860</v>
      </c>
      <c r="J435" s="288" t="s">
        <v>823</v>
      </c>
      <c r="K435" s="40"/>
      <c r="O435" s="351"/>
      <c r="P435" s="267">
        <f t="shared" ref="P435:P441" si="11">O435*F435</f>
        <v>0</v>
      </c>
      <c r="W435"/>
      <c r="X435"/>
    </row>
    <row r="436" spans="1:24" ht="15.75" customHeight="1" x14ac:dyDescent="0.25">
      <c r="A436" s="630"/>
      <c r="B436" s="574"/>
      <c r="C436" s="533"/>
      <c r="D436" s="132" t="s">
        <v>290</v>
      </c>
      <c r="E436" s="304" t="s">
        <v>526</v>
      </c>
      <c r="F436" s="343"/>
      <c r="G436" s="343">
        <v>0</v>
      </c>
      <c r="H436" s="289" t="s">
        <v>394</v>
      </c>
      <c r="I436" s="289" t="s">
        <v>860</v>
      </c>
      <c r="J436" s="290" t="s">
        <v>527</v>
      </c>
      <c r="K436" s="40"/>
      <c r="O436" s="351"/>
      <c r="P436" s="267">
        <f t="shared" si="11"/>
        <v>0</v>
      </c>
      <c r="W436"/>
      <c r="X436"/>
    </row>
    <row r="437" spans="1:24" ht="15.75" customHeight="1" x14ac:dyDescent="0.25">
      <c r="A437" s="630"/>
      <c r="B437" s="574"/>
      <c r="C437" s="533"/>
      <c r="D437" s="132" t="s">
        <v>290</v>
      </c>
      <c r="E437" s="304" t="s">
        <v>528</v>
      </c>
      <c r="F437" s="343"/>
      <c r="G437" s="343">
        <v>0</v>
      </c>
      <c r="H437" s="289" t="s">
        <v>394</v>
      </c>
      <c r="I437" s="289" t="s">
        <v>860</v>
      </c>
      <c r="J437" s="290"/>
      <c r="K437" s="40"/>
      <c r="O437" s="351"/>
      <c r="P437" s="267">
        <f t="shared" si="11"/>
        <v>0</v>
      </c>
      <c r="W437"/>
      <c r="X437"/>
    </row>
    <row r="438" spans="1:24" ht="15.75" customHeight="1" thickBot="1" x14ac:dyDescent="0.3">
      <c r="A438" s="630"/>
      <c r="B438" s="574"/>
      <c r="C438" s="533"/>
      <c r="D438" s="186" t="s">
        <v>290</v>
      </c>
      <c r="E438" s="430" t="s">
        <v>529</v>
      </c>
      <c r="F438" s="102"/>
      <c r="G438" s="102">
        <v>0</v>
      </c>
      <c r="H438" s="60" t="s">
        <v>394</v>
      </c>
      <c r="I438" s="60" t="s">
        <v>860</v>
      </c>
      <c r="J438" s="73"/>
      <c r="K438" s="40"/>
      <c r="O438" s="351"/>
      <c r="P438" s="267">
        <f t="shared" si="11"/>
        <v>0</v>
      </c>
      <c r="W438"/>
      <c r="X438"/>
    </row>
    <row r="439" spans="1:24" ht="15.75" customHeight="1" x14ac:dyDescent="0.25">
      <c r="A439" s="630"/>
      <c r="B439" s="574"/>
      <c r="C439" s="529" t="s">
        <v>833</v>
      </c>
      <c r="D439" s="310" t="s">
        <v>205</v>
      </c>
      <c r="E439" s="287" t="s">
        <v>864</v>
      </c>
      <c r="F439" s="342"/>
      <c r="G439" s="342">
        <v>0</v>
      </c>
      <c r="H439" s="287" t="s">
        <v>394</v>
      </c>
      <c r="I439" s="287" t="s">
        <v>865</v>
      </c>
      <c r="J439" s="288"/>
      <c r="K439" s="40"/>
      <c r="O439" s="351">
        <v>36.56</v>
      </c>
      <c r="P439" s="267">
        <f t="shared" si="11"/>
        <v>0</v>
      </c>
      <c r="W439"/>
      <c r="X439"/>
    </row>
    <row r="440" spans="1:24" ht="15.75" customHeight="1" x14ac:dyDescent="0.25">
      <c r="A440" s="630"/>
      <c r="B440" s="574"/>
      <c r="C440" s="533"/>
      <c r="D440" s="265" t="s">
        <v>205</v>
      </c>
      <c r="E440" s="289" t="s">
        <v>835</v>
      </c>
      <c r="F440" s="343"/>
      <c r="G440" s="343">
        <v>0</v>
      </c>
      <c r="H440" s="289" t="s">
        <v>394</v>
      </c>
      <c r="I440" s="56" t="s">
        <v>865</v>
      </c>
      <c r="J440" s="290"/>
      <c r="K440" s="40"/>
      <c r="O440" s="351">
        <v>44.69</v>
      </c>
      <c r="P440" s="267">
        <f t="shared" si="11"/>
        <v>0</v>
      </c>
      <c r="W440"/>
      <c r="X440"/>
    </row>
    <row r="441" spans="1:24" ht="16.5" customHeight="1" x14ac:dyDescent="0.25">
      <c r="A441" s="630"/>
      <c r="B441" s="574"/>
      <c r="C441" s="533"/>
      <c r="D441" s="132" t="s">
        <v>290</v>
      </c>
      <c r="E441" s="311" t="s">
        <v>866</v>
      </c>
      <c r="F441" s="359">
        <f>ROUNDUP((F439+F440)*130/300,0)</f>
        <v>0</v>
      </c>
      <c r="G441" s="359">
        <v>0</v>
      </c>
      <c r="H441" s="289" t="s">
        <v>543</v>
      </c>
      <c r="I441" s="289"/>
      <c r="J441" s="290"/>
      <c r="K441" s="40"/>
      <c r="O441" s="351"/>
      <c r="P441" s="267">
        <f t="shared" si="11"/>
        <v>0</v>
      </c>
      <c r="W441"/>
      <c r="X441"/>
    </row>
    <row r="442" spans="1:24" ht="16.5" customHeight="1" x14ac:dyDescent="0.25">
      <c r="A442" s="630"/>
      <c r="B442" s="574"/>
      <c r="C442" s="533"/>
      <c r="D442" s="269" t="s">
        <v>215</v>
      </c>
      <c r="E442" s="311" t="s">
        <v>516</v>
      </c>
      <c r="F442" s="359">
        <f>(F439+F440)*50</f>
        <v>0</v>
      </c>
      <c r="G442" s="359">
        <v>0</v>
      </c>
      <c r="H442" s="289" t="s">
        <v>276</v>
      </c>
      <c r="I442" s="289" t="s">
        <v>867</v>
      </c>
      <c r="J442" s="73"/>
      <c r="K442" s="40"/>
      <c r="L442" s="40"/>
      <c r="M442" s="40"/>
      <c r="N442" s="40"/>
      <c r="O442" s="351"/>
      <c r="P442" s="267"/>
      <c r="Q442" s="40"/>
      <c r="R442" s="40"/>
      <c r="S442" s="40"/>
      <c r="T442" s="40"/>
      <c r="U442" s="40"/>
      <c r="V442" s="40"/>
      <c r="W442"/>
      <c r="X442"/>
    </row>
    <row r="443" spans="1:24" ht="15.75" customHeight="1" thickBot="1" x14ac:dyDescent="0.3">
      <c r="A443" s="630"/>
      <c r="B443" s="574"/>
      <c r="C443" s="532"/>
      <c r="D443" s="283" t="s">
        <v>215</v>
      </c>
      <c r="E443" s="285" t="s">
        <v>679</v>
      </c>
      <c r="F443" s="353">
        <f>(F439+F440)*17</f>
        <v>0</v>
      </c>
      <c r="G443" s="428">
        <v>0</v>
      </c>
      <c r="H443" s="285" t="s">
        <v>276</v>
      </c>
      <c r="I443" s="126" t="s">
        <v>868</v>
      </c>
      <c r="J443" s="286"/>
      <c r="K443" s="40"/>
      <c r="O443" s="351"/>
      <c r="P443" s="267">
        <f>O443*F442</f>
        <v>0</v>
      </c>
      <c r="W443"/>
      <c r="X443"/>
    </row>
    <row r="444" spans="1:24" ht="15.75" customHeight="1" x14ac:dyDescent="0.25">
      <c r="A444" s="630"/>
      <c r="B444" s="574"/>
      <c r="C444" s="529" t="s">
        <v>655</v>
      </c>
      <c r="D444" s="310" t="s">
        <v>205</v>
      </c>
      <c r="E444" s="287" t="s">
        <v>826</v>
      </c>
      <c r="F444" s="342"/>
      <c r="G444" s="342">
        <v>0</v>
      </c>
      <c r="H444" s="287" t="s">
        <v>394</v>
      </c>
      <c r="I444" s="287" t="s">
        <v>840</v>
      </c>
      <c r="J444" s="288"/>
      <c r="K444" s="40"/>
      <c r="O444" s="351">
        <v>43.759</v>
      </c>
      <c r="P444" s="267">
        <f t="shared" ref="P444:P464" si="12">O444*F444</f>
        <v>0</v>
      </c>
      <c r="W444"/>
      <c r="X444"/>
    </row>
    <row r="445" spans="1:24" ht="15.75" customHeight="1" x14ac:dyDescent="0.25">
      <c r="A445" s="630"/>
      <c r="B445" s="574"/>
      <c r="C445" s="533"/>
      <c r="D445" s="265" t="s">
        <v>205</v>
      </c>
      <c r="E445" s="289" t="s">
        <v>828</v>
      </c>
      <c r="F445" s="343"/>
      <c r="G445" s="343">
        <v>0</v>
      </c>
      <c r="H445" s="289" t="s">
        <v>394</v>
      </c>
      <c r="I445" s="289" t="s">
        <v>840</v>
      </c>
      <c r="J445" s="290"/>
      <c r="K445" s="40"/>
      <c r="O445" s="351">
        <v>37.508000000000003</v>
      </c>
      <c r="P445" s="267">
        <f t="shared" si="12"/>
        <v>0</v>
      </c>
      <c r="W445"/>
      <c r="X445"/>
    </row>
    <row r="446" spans="1:24" ht="15.75" customHeight="1" x14ac:dyDescent="0.25">
      <c r="A446" s="630"/>
      <c r="B446" s="574"/>
      <c r="C446" s="533"/>
      <c r="D446" s="132" t="s">
        <v>290</v>
      </c>
      <c r="E446" s="311" t="s">
        <v>866</v>
      </c>
      <c r="F446" s="359">
        <f>ROUNDUP((F444+F445)*130/300,0)</f>
        <v>0</v>
      </c>
      <c r="G446" s="359">
        <v>0</v>
      </c>
      <c r="H446" s="289" t="s">
        <v>543</v>
      </c>
      <c r="I446" s="289" t="s">
        <v>830</v>
      </c>
      <c r="J446" s="290"/>
      <c r="K446" s="40"/>
      <c r="O446" s="351"/>
      <c r="P446" s="267">
        <f t="shared" si="12"/>
        <v>0</v>
      </c>
      <c r="W446"/>
      <c r="X446"/>
    </row>
    <row r="447" spans="1:24" ht="15.75" customHeight="1" x14ac:dyDescent="0.25">
      <c r="A447" s="630"/>
      <c r="B447" s="574"/>
      <c r="C447" s="533"/>
      <c r="D447" s="269" t="s">
        <v>215</v>
      </c>
      <c r="E447" s="311" t="s">
        <v>516</v>
      </c>
      <c r="F447" s="359">
        <f>(F444+F445)*50</f>
        <v>0</v>
      </c>
      <c r="G447" s="359">
        <v>0</v>
      </c>
      <c r="H447" s="289" t="s">
        <v>276</v>
      </c>
      <c r="I447" s="289" t="s">
        <v>869</v>
      </c>
      <c r="J447" s="290"/>
      <c r="K447" s="40"/>
      <c r="O447" s="351"/>
      <c r="P447" s="267">
        <f t="shared" si="12"/>
        <v>0</v>
      </c>
      <c r="W447"/>
      <c r="X447"/>
    </row>
    <row r="448" spans="1:24" ht="15.75" customHeight="1" thickBot="1" x14ac:dyDescent="0.3">
      <c r="A448" s="631"/>
      <c r="B448" s="576"/>
      <c r="C448" s="532"/>
      <c r="D448" s="283" t="s">
        <v>215</v>
      </c>
      <c r="E448" s="285" t="s">
        <v>679</v>
      </c>
      <c r="F448" s="353">
        <f>(F444+F445)*17</f>
        <v>0</v>
      </c>
      <c r="G448" s="428">
        <v>0</v>
      </c>
      <c r="H448" s="285" t="s">
        <v>276</v>
      </c>
      <c r="I448" s="126" t="s">
        <v>870</v>
      </c>
      <c r="J448" s="286"/>
      <c r="K448" s="40"/>
      <c r="O448" s="351"/>
      <c r="P448" s="267">
        <f t="shared" si="12"/>
        <v>0</v>
      </c>
      <c r="W448"/>
      <c r="X448"/>
    </row>
    <row r="449" spans="1:24" ht="15.75" customHeight="1" x14ac:dyDescent="0.25">
      <c r="A449" s="559" t="s">
        <v>1183</v>
      </c>
      <c r="B449" s="585"/>
      <c r="C449" s="529" t="s">
        <v>1180</v>
      </c>
      <c r="D449" s="281" t="s">
        <v>207</v>
      </c>
      <c r="E449" s="157" t="s">
        <v>630</v>
      </c>
      <c r="F449" s="342"/>
      <c r="G449" s="342">
        <v>0</v>
      </c>
      <c r="H449" s="287" t="s">
        <v>276</v>
      </c>
      <c r="I449" s="287" t="s">
        <v>862</v>
      </c>
      <c r="J449" s="288"/>
      <c r="K449" s="40"/>
      <c r="O449" s="351">
        <v>5.37</v>
      </c>
      <c r="P449" s="267">
        <f t="shared" si="12"/>
        <v>0</v>
      </c>
      <c r="W449"/>
      <c r="X449"/>
    </row>
    <row r="450" spans="1:24" ht="15.75" customHeight="1" thickBot="1" x14ac:dyDescent="0.3">
      <c r="A450" s="612"/>
      <c r="B450" s="587"/>
      <c r="C450" s="532"/>
      <c r="D450" s="283" t="s">
        <v>215</v>
      </c>
      <c r="E450" s="285" t="s">
        <v>871</v>
      </c>
      <c r="F450" s="353">
        <f>F449*24</f>
        <v>0</v>
      </c>
      <c r="G450" s="353">
        <v>0</v>
      </c>
      <c r="H450" s="285" t="s">
        <v>276</v>
      </c>
      <c r="I450" s="285" t="s">
        <v>872</v>
      </c>
      <c r="J450" s="286"/>
      <c r="K450" s="40"/>
      <c r="O450" s="351"/>
      <c r="P450" s="267">
        <f t="shared" si="12"/>
        <v>0</v>
      </c>
      <c r="W450"/>
      <c r="X450"/>
    </row>
    <row r="451" spans="1:24" ht="15.75" customHeight="1" x14ac:dyDescent="0.25">
      <c r="A451" s="612"/>
      <c r="B451" s="587"/>
      <c r="C451" s="529" t="s">
        <v>1180</v>
      </c>
      <c r="D451" s="281" t="s">
        <v>207</v>
      </c>
      <c r="E451" s="282" t="s">
        <v>551</v>
      </c>
      <c r="F451" s="342"/>
      <c r="G451" s="342">
        <v>0</v>
      </c>
      <c r="H451" s="287" t="s">
        <v>276</v>
      </c>
      <c r="I451" s="287" t="s">
        <v>862</v>
      </c>
      <c r="J451" s="313"/>
      <c r="K451" s="40"/>
      <c r="O451" s="351">
        <v>6.07</v>
      </c>
      <c r="P451" s="267">
        <f t="shared" si="12"/>
        <v>0</v>
      </c>
      <c r="W451"/>
      <c r="X451"/>
    </row>
    <row r="452" spans="1:24" ht="15.75" customHeight="1" x14ac:dyDescent="0.25">
      <c r="A452" s="612"/>
      <c r="B452" s="587"/>
      <c r="C452" s="533"/>
      <c r="D452" s="269" t="s">
        <v>215</v>
      </c>
      <c r="E452" s="295" t="s">
        <v>742</v>
      </c>
      <c r="F452" s="359">
        <f>(F451+F453+F454)*11</f>
        <v>0</v>
      </c>
      <c r="G452" s="359">
        <v>0</v>
      </c>
      <c r="H452" s="289" t="s">
        <v>276</v>
      </c>
      <c r="I452" s="289" t="s">
        <v>873</v>
      </c>
      <c r="J452" s="316"/>
      <c r="K452" s="40"/>
      <c r="O452" s="351"/>
      <c r="P452" s="267">
        <f t="shared" si="12"/>
        <v>0</v>
      </c>
      <c r="W452"/>
      <c r="X452"/>
    </row>
    <row r="453" spans="1:24" ht="15.75" customHeight="1" x14ac:dyDescent="0.25">
      <c r="A453" s="612"/>
      <c r="B453" s="587"/>
      <c r="C453" s="533"/>
      <c r="D453" s="266" t="s">
        <v>207</v>
      </c>
      <c r="E453" s="295" t="s">
        <v>348</v>
      </c>
      <c r="F453" s="343"/>
      <c r="G453" s="343">
        <v>0</v>
      </c>
      <c r="H453" s="289" t="s">
        <v>276</v>
      </c>
      <c r="I453" s="289" t="s">
        <v>1184</v>
      </c>
      <c r="J453" s="290"/>
      <c r="K453" s="40"/>
      <c r="L453" s="188"/>
      <c r="M453" s="188"/>
      <c r="N453" s="188"/>
      <c r="O453" s="351">
        <v>26.31</v>
      </c>
      <c r="P453" s="267">
        <f t="shared" si="12"/>
        <v>0</v>
      </c>
      <c r="Q453" s="188"/>
      <c r="R453" s="188"/>
      <c r="S453" s="188"/>
      <c r="T453" s="188"/>
      <c r="U453" s="188"/>
      <c r="V453" s="188"/>
      <c r="W453"/>
      <c r="X453"/>
    </row>
    <row r="454" spans="1:24" ht="15.75" customHeight="1" thickBot="1" x14ac:dyDescent="0.3">
      <c r="A454" s="612"/>
      <c r="B454" s="587"/>
      <c r="C454" s="532"/>
      <c r="D454" s="291" t="s">
        <v>207</v>
      </c>
      <c r="E454" s="189" t="s">
        <v>312</v>
      </c>
      <c r="F454" s="357"/>
      <c r="G454" s="357">
        <v>0</v>
      </c>
      <c r="H454" s="285" t="s">
        <v>276</v>
      </c>
      <c r="I454" s="285" t="s">
        <v>1184</v>
      </c>
      <c r="J454" s="286"/>
      <c r="K454" s="40"/>
      <c r="O454" s="431">
        <v>12.82</v>
      </c>
      <c r="P454" s="267">
        <f t="shared" si="12"/>
        <v>0</v>
      </c>
      <c r="W454"/>
      <c r="X454"/>
    </row>
    <row r="455" spans="1:24" ht="15.75" customHeight="1" x14ac:dyDescent="0.25">
      <c r="A455" s="612"/>
      <c r="B455" s="587"/>
      <c r="C455" s="529" t="s">
        <v>874</v>
      </c>
      <c r="D455" s="298" t="s">
        <v>213</v>
      </c>
      <c r="E455" s="287" t="s">
        <v>318</v>
      </c>
      <c r="F455" s="342"/>
      <c r="G455" s="343">
        <v>0</v>
      </c>
      <c r="H455" s="287" t="s">
        <v>158</v>
      </c>
      <c r="I455" s="287" t="s">
        <v>862</v>
      </c>
      <c r="J455" s="288"/>
      <c r="K455" s="40"/>
      <c r="O455" s="351"/>
      <c r="P455" s="267">
        <f t="shared" si="12"/>
        <v>0</v>
      </c>
      <c r="W455"/>
      <c r="X455"/>
    </row>
    <row r="456" spans="1:24" ht="15.75" customHeight="1" x14ac:dyDescent="0.25">
      <c r="A456" s="612"/>
      <c r="B456" s="587"/>
      <c r="C456" s="533"/>
      <c r="D456" s="268" t="s">
        <v>213</v>
      </c>
      <c r="E456" s="295" t="s">
        <v>506</v>
      </c>
      <c r="F456" s="343"/>
      <c r="G456" s="343">
        <v>0</v>
      </c>
      <c r="H456" s="289" t="s">
        <v>237</v>
      </c>
      <c r="I456" s="289" t="s">
        <v>875</v>
      </c>
      <c r="J456" s="290"/>
      <c r="K456" s="40"/>
      <c r="O456" s="351"/>
      <c r="P456" s="267">
        <f t="shared" si="12"/>
        <v>0</v>
      </c>
      <c r="W456"/>
      <c r="X456"/>
    </row>
    <row r="457" spans="1:24" ht="15.75" customHeight="1" x14ac:dyDescent="0.25">
      <c r="A457" s="612"/>
      <c r="B457" s="587"/>
      <c r="C457" s="533"/>
      <c r="D457" s="269" t="s">
        <v>215</v>
      </c>
      <c r="E457" s="289" t="s">
        <v>504</v>
      </c>
      <c r="F457" s="359">
        <f>ROUNDUP(F455/0.9*20,0)</f>
        <v>0</v>
      </c>
      <c r="G457" s="359">
        <v>0</v>
      </c>
      <c r="H457" s="289" t="s">
        <v>276</v>
      </c>
      <c r="I457" s="289" t="s">
        <v>876</v>
      </c>
      <c r="J457" s="290"/>
      <c r="K457" s="40"/>
      <c r="O457" s="351"/>
      <c r="P457" s="267">
        <f t="shared" si="12"/>
        <v>0</v>
      </c>
      <c r="W457"/>
      <c r="X457"/>
    </row>
    <row r="458" spans="1:24" ht="15.75" customHeight="1" thickBot="1" x14ac:dyDescent="0.3">
      <c r="A458" s="612"/>
      <c r="B458" s="587"/>
      <c r="C458" s="532"/>
      <c r="D458" s="299" t="s">
        <v>589</v>
      </c>
      <c r="E458" s="285" t="s">
        <v>590</v>
      </c>
      <c r="F458" s="357"/>
      <c r="G458" s="357">
        <v>0</v>
      </c>
      <c r="H458" s="285" t="s">
        <v>877</v>
      </c>
      <c r="I458" s="285" t="s">
        <v>878</v>
      </c>
      <c r="J458" s="286"/>
      <c r="K458" s="40"/>
      <c r="O458" s="351"/>
      <c r="P458" s="267">
        <f t="shared" si="12"/>
        <v>0</v>
      </c>
      <c r="W458"/>
      <c r="X458"/>
    </row>
    <row r="459" spans="1:24" ht="15.75" customHeight="1" x14ac:dyDescent="0.25">
      <c r="A459" s="612"/>
      <c r="B459" s="587"/>
      <c r="C459" s="529" t="s">
        <v>821</v>
      </c>
      <c r="D459" s="132" t="s">
        <v>290</v>
      </c>
      <c r="E459" s="303" t="s">
        <v>524</v>
      </c>
      <c r="F459" s="342"/>
      <c r="G459" s="342">
        <v>0</v>
      </c>
      <c r="H459" s="287" t="s">
        <v>394</v>
      </c>
      <c r="I459" s="280" t="s">
        <v>862</v>
      </c>
      <c r="J459" s="288" t="s">
        <v>823</v>
      </c>
      <c r="K459" s="40"/>
      <c r="O459" s="351"/>
      <c r="P459" s="267">
        <f t="shared" si="12"/>
        <v>0</v>
      </c>
      <c r="W459"/>
      <c r="X459"/>
    </row>
    <row r="460" spans="1:24" ht="15.75" customHeight="1" x14ac:dyDescent="0.25">
      <c r="A460" s="612"/>
      <c r="B460" s="587"/>
      <c r="C460" s="533"/>
      <c r="D460" s="132" t="s">
        <v>290</v>
      </c>
      <c r="E460" s="304" t="s">
        <v>526</v>
      </c>
      <c r="F460" s="343"/>
      <c r="G460" s="343">
        <v>0</v>
      </c>
      <c r="H460" s="289" t="s">
        <v>394</v>
      </c>
      <c r="I460" s="280" t="s">
        <v>862</v>
      </c>
      <c r="J460" s="290" t="s">
        <v>527</v>
      </c>
      <c r="K460" s="40"/>
      <c r="O460" s="351"/>
      <c r="P460" s="267">
        <f t="shared" si="12"/>
        <v>0</v>
      </c>
      <c r="W460"/>
      <c r="X460"/>
    </row>
    <row r="461" spans="1:24" ht="15.75" customHeight="1" x14ac:dyDescent="0.25">
      <c r="A461" s="612"/>
      <c r="B461" s="587"/>
      <c r="C461" s="533"/>
      <c r="D461" s="132" t="s">
        <v>290</v>
      </c>
      <c r="E461" s="304" t="s">
        <v>528</v>
      </c>
      <c r="F461" s="343"/>
      <c r="G461" s="343">
        <v>0</v>
      </c>
      <c r="H461" s="289" t="s">
        <v>394</v>
      </c>
      <c r="I461" s="280" t="s">
        <v>862</v>
      </c>
      <c r="J461" s="290"/>
      <c r="K461" s="40"/>
      <c r="O461" s="351"/>
      <c r="P461" s="267">
        <f t="shared" si="12"/>
        <v>0</v>
      </c>
      <c r="W461"/>
      <c r="X461"/>
    </row>
    <row r="462" spans="1:24" ht="15.75" customHeight="1" x14ac:dyDescent="0.25">
      <c r="A462" s="612"/>
      <c r="B462" s="587"/>
      <c r="C462" s="533"/>
      <c r="D462" s="132" t="s">
        <v>290</v>
      </c>
      <c r="E462" s="304" t="s">
        <v>529</v>
      </c>
      <c r="F462" s="343"/>
      <c r="G462" s="343">
        <v>0</v>
      </c>
      <c r="H462" s="289" t="s">
        <v>394</v>
      </c>
      <c r="I462" s="280" t="s">
        <v>862</v>
      </c>
      <c r="J462" s="290"/>
      <c r="K462" s="40"/>
      <c r="O462" s="351"/>
      <c r="P462" s="267">
        <f t="shared" si="12"/>
        <v>0</v>
      </c>
      <c r="W462"/>
      <c r="X462"/>
    </row>
    <row r="463" spans="1:24" ht="15.75" customHeight="1" x14ac:dyDescent="0.25">
      <c r="A463" s="612"/>
      <c r="B463" s="587"/>
      <c r="C463" s="533"/>
      <c r="D463" s="132" t="s">
        <v>290</v>
      </c>
      <c r="E463" s="305" t="s">
        <v>861</v>
      </c>
      <c r="F463" s="343"/>
      <c r="G463" s="343">
        <v>0</v>
      </c>
      <c r="H463" s="289" t="s">
        <v>394</v>
      </c>
      <c r="I463" s="280" t="s">
        <v>862</v>
      </c>
      <c r="J463" s="290"/>
      <c r="K463" s="40"/>
      <c r="O463" s="351"/>
      <c r="P463" s="267">
        <f t="shared" si="12"/>
        <v>0</v>
      </c>
      <c r="W463"/>
      <c r="X463"/>
    </row>
    <row r="464" spans="1:24" ht="15.75" customHeight="1" thickBot="1" x14ac:dyDescent="0.3">
      <c r="A464" s="613"/>
      <c r="B464" s="589"/>
      <c r="C464" s="533"/>
      <c r="D464" s="186" t="s">
        <v>290</v>
      </c>
      <c r="E464" s="187" t="s">
        <v>863</v>
      </c>
      <c r="F464" s="102"/>
      <c r="G464" s="102">
        <v>0</v>
      </c>
      <c r="H464" s="60" t="s">
        <v>394</v>
      </c>
      <c r="I464" s="280" t="s">
        <v>862</v>
      </c>
      <c r="J464" s="73"/>
      <c r="K464" s="40"/>
      <c r="O464" s="351"/>
      <c r="P464" s="267">
        <f t="shared" si="12"/>
        <v>0</v>
      </c>
      <c r="W464"/>
      <c r="X464"/>
    </row>
    <row r="465" spans="1:24" ht="15.75" customHeight="1" x14ac:dyDescent="0.25">
      <c r="A465" s="627" t="s">
        <v>1185</v>
      </c>
      <c r="B465" s="572"/>
      <c r="C465" s="526" t="s">
        <v>815</v>
      </c>
      <c r="D465" s="182" t="s">
        <v>421</v>
      </c>
      <c r="E465" s="111" t="s">
        <v>1186</v>
      </c>
      <c r="F465" s="346"/>
      <c r="G465" s="346">
        <v>0</v>
      </c>
      <c r="H465" s="101" t="s">
        <v>276</v>
      </c>
      <c r="I465" s="101" t="s">
        <v>879</v>
      </c>
      <c r="J465" s="288" t="s">
        <v>1187</v>
      </c>
      <c r="K465" s="40"/>
      <c r="O465" s="351">
        <v>2.0299999999999998</v>
      </c>
      <c r="P465" s="267" t="e">
        <f>O465*#REF!</f>
        <v>#REF!</v>
      </c>
      <c r="W465"/>
      <c r="X465"/>
    </row>
    <row r="466" spans="1:24" ht="15.75" customHeight="1" thickBot="1" x14ac:dyDescent="0.3">
      <c r="A466" s="630"/>
      <c r="B466" s="574"/>
      <c r="C466" s="528"/>
      <c r="D466" s="301" t="s">
        <v>421</v>
      </c>
      <c r="E466" s="300" t="s">
        <v>1188</v>
      </c>
      <c r="F466" s="350"/>
      <c r="G466" s="350">
        <v>0</v>
      </c>
      <c r="H466" s="285" t="s">
        <v>276</v>
      </c>
      <c r="I466" s="285" t="s">
        <v>879</v>
      </c>
      <c r="J466" s="286" t="s">
        <v>1187</v>
      </c>
      <c r="K466" s="40"/>
      <c r="O466" s="351"/>
      <c r="P466" s="267" t="e">
        <f>O466*#REF!</f>
        <v>#REF!</v>
      </c>
      <c r="W466"/>
      <c r="X466"/>
    </row>
    <row r="467" spans="1:24" ht="15.75" customHeight="1" x14ac:dyDescent="0.25">
      <c r="A467" s="630"/>
      <c r="B467" s="574"/>
      <c r="C467" s="529" t="s">
        <v>1180</v>
      </c>
      <c r="D467" s="281" t="s">
        <v>207</v>
      </c>
      <c r="E467" s="157" t="s">
        <v>630</v>
      </c>
      <c r="F467" s="342"/>
      <c r="G467" s="342">
        <v>0</v>
      </c>
      <c r="H467" s="287" t="s">
        <v>276</v>
      </c>
      <c r="I467" s="287" t="s">
        <v>880</v>
      </c>
      <c r="J467" s="288"/>
      <c r="K467" s="40"/>
      <c r="O467" s="351">
        <v>5.37</v>
      </c>
      <c r="P467" s="267">
        <f>O467*F467</f>
        <v>0</v>
      </c>
      <c r="W467"/>
      <c r="X467"/>
    </row>
    <row r="468" spans="1:24" ht="15.75" customHeight="1" thickBot="1" x14ac:dyDescent="0.3">
      <c r="A468" s="630"/>
      <c r="B468" s="574"/>
      <c r="C468" s="532"/>
      <c r="D468" s="283" t="s">
        <v>215</v>
      </c>
      <c r="E468" s="285" t="s">
        <v>498</v>
      </c>
      <c r="F468" s="353">
        <f>F467*20</f>
        <v>0</v>
      </c>
      <c r="G468" s="353">
        <v>0</v>
      </c>
      <c r="H468" s="285" t="s">
        <v>276</v>
      </c>
      <c r="I468" s="285"/>
      <c r="J468" s="286"/>
      <c r="K468" s="40"/>
      <c r="O468" s="351"/>
      <c r="P468" s="267">
        <f>O468*F468</f>
        <v>0</v>
      </c>
      <c r="W468"/>
      <c r="X468"/>
    </row>
    <row r="469" spans="1:24" ht="15.75" customHeight="1" x14ac:dyDescent="0.25">
      <c r="A469" s="630"/>
      <c r="B469" s="574"/>
      <c r="C469" s="529" t="s">
        <v>1180</v>
      </c>
      <c r="D469" s="281" t="s">
        <v>207</v>
      </c>
      <c r="E469" s="282" t="s">
        <v>553</v>
      </c>
      <c r="F469" s="342"/>
      <c r="G469" s="342">
        <v>0</v>
      </c>
      <c r="H469" s="287" t="s">
        <v>276</v>
      </c>
      <c r="I469" s="287" t="s">
        <v>880</v>
      </c>
      <c r="J469" s="288"/>
      <c r="K469" s="40"/>
      <c r="L469" s="40"/>
      <c r="M469" s="40"/>
      <c r="N469" s="40"/>
      <c r="O469" s="351"/>
      <c r="P469" s="267"/>
      <c r="Q469" s="40"/>
      <c r="R469" s="40"/>
      <c r="S469" s="40"/>
      <c r="T469" s="40"/>
      <c r="U469" s="40"/>
      <c r="V469" s="40"/>
      <c r="W469"/>
      <c r="X469"/>
    </row>
    <row r="470" spans="1:24" ht="15.75" customHeight="1" thickBot="1" x14ac:dyDescent="0.3">
      <c r="A470" s="630"/>
      <c r="B470" s="574"/>
      <c r="C470" s="532"/>
      <c r="D470" s="283" t="s">
        <v>215</v>
      </c>
      <c r="E470" s="300" t="s">
        <v>627</v>
      </c>
      <c r="F470" s="353">
        <f>F469*10</f>
        <v>0</v>
      </c>
      <c r="G470" s="353">
        <v>0</v>
      </c>
      <c r="H470" s="285" t="s">
        <v>276</v>
      </c>
      <c r="I470" s="285" t="s">
        <v>881</v>
      </c>
      <c r="J470" s="163"/>
      <c r="K470" s="40"/>
      <c r="L470" s="40"/>
      <c r="M470" s="40"/>
      <c r="N470" s="40"/>
      <c r="O470" s="351"/>
      <c r="P470" s="267"/>
      <c r="Q470" s="40"/>
      <c r="R470" s="40"/>
      <c r="S470" s="40"/>
      <c r="T470" s="40"/>
      <c r="U470" s="40"/>
      <c r="V470" s="40"/>
      <c r="W470"/>
      <c r="X470"/>
    </row>
    <row r="471" spans="1:24" ht="15.75" customHeight="1" x14ac:dyDescent="0.25">
      <c r="A471" s="630"/>
      <c r="B471" s="574"/>
      <c r="C471" s="529" t="s">
        <v>1180</v>
      </c>
      <c r="D471" s="281" t="s">
        <v>207</v>
      </c>
      <c r="E471" s="282" t="s">
        <v>551</v>
      </c>
      <c r="F471" s="342"/>
      <c r="G471" s="342">
        <v>0</v>
      </c>
      <c r="H471" s="287" t="s">
        <v>276</v>
      </c>
      <c r="I471" s="287" t="s">
        <v>882</v>
      </c>
      <c r="J471" s="288"/>
      <c r="K471" s="40"/>
      <c r="O471" s="351">
        <v>6.07</v>
      </c>
      <c r="P471" s="267">
        <f t="shared" ref="P471:P484" si="13">O471*F471</f>
        <v>0</v>
      </c>
      <c r="W471"/>
      <c r="X471"/>
    </row>
    <row r="472" spans="1:24" ht="15.75" customHeight="1" thickBot="1" x14ac:dyDescent="0.3">
      <c r="A472" s="630"/>
      <c r="B472" s="574"/>
      <c r="C472" s="532"/>
      <c r="D472" s="283" t="s">
        <v>215</v>
      </c>
      <c r="E472" s="300" t="s">
        <v>745</v>
      </c>
      <c r="F472" s="353">
        <f>F471*10</f>
        <v>0</v>
      </c>
      <c r="G472" s="353">
        <v>0</v>
      </c>
      <c r="H472" s="285" t="s">
        <v>276</v>
      </c>
      <c r="I472" s="285" t="s">
        <v>883</v>
      </c>
      <c r="J472" s="286"/>
      <c r="K472" s="40"/>
      <c r="O472" s="351"/>
      <c r="P472" s="267">
        <f t="shared" si="13"/>
        <v>0</v>
      </c>
      <c r="W472"/>
      <c r="X472"/>
    </row>
    <row r="473" spans="1:24" ht="15.75" customHeight="1" x14ac:dyDescent="0.25">
      <c r="A473" s="630"/>
      <c r="B473" s="574"/>
      <c r="C473" s="529" t="s">
        <v>884</v>
      </c>
      <c r="D473" s="432" t="s">
        <v>885</v>
      </c>
      <c r="E473" s="323" t="s">
        <v>553</v>
      </c>
      <c r="F473" s="342"/>
      <c r="G473" s="342">
        <v>0</v>
      </c>
      <c r="H473" s="287" t="s">
        <v>171</v>
      </c>
      <c r="I473" s="287"/>
      <c r="J473" s="288"/>
      <c r="K473" s="40"/>
      <c r="O473" s="351"/>
      <c r="P473" s="267">
        <f t="shared" si="13"/>
        <v>0</v>
      </c>
      <c r="W473"/>
      <c r="X473"/>
    </row>
    <row r="474" spans="1:24" ht="15.75" customHeight="1" thickBot="1" x14ac:dyDescent="0.3">
      <c r="A474" s="630"/>
      <c r="B474" s="574"/>
      <c r="C474" s="532"/>
      <c r="D474" s="161" t="s">
        <v>468</v>
      </c>
      <c r="E474" s="308" t="s">
        <v>745</v>
      </c>
      <c r="F474" s="162">
        <f>F473*24</f>
        <v>0</v>
      </c>
      <c r="G474" s="162">
        <v>0</v>
      </c>
      <c r="H474" s="126" t="s">
        <v>171</v>
      </c>
      <c r="I474" s="126"/>
      <c r="J474" s="163"/>
      <c r="K474" s="40"/>
      <c r="O474" s="351"/>
      <c r="P474" s="267">
        <f t="shared" si="13"/>
        <v>0</v>
      </c>
      <c r="W474"/>
      <c r="X474"/>
    </row>
    <row r="475" spans="1:24" ht="15.75" customHeight="1" x14ac:dyDescent="0.25">
      <c r="A475" s="630"/>
      <c r="B475" s="574"/>
      <c r="C475" s="529" t="s">
        <v>874</v>
      </c>
      <c r="D475" s="298" t="s">
        <v>213</v>
      </c>
      <c r="E475" s="287" t="s">
        <v>318</v>
      </c>
      <c r="F475" s="342"/>
      <c r="G475" s="342">
        <v>0</v>
      </c>
      <c r="H475" s="287" t="s">
        <v>158</v>
      </c>
      <c r="I475" s="287" t="s">
        <v>880</v>
      </c>
      <c r="J475" s="288"/>
      <c r="K475" s="40"/>
      <c r="O475" s="351"/>
      <c r="P475" s="267">
        <f t="shared" si="13"/>
        <v>0</v>
      </c>
      <c r="W475"/>
      <c r="X475"/>
    </row>
    <row r="476" spans="1:24" ht="15.75" customHeight="1" x14ac:dyDescent="0.25">
      <c r="A476" s="630"/>
      <c r="B476" s="574"/>
      <c r="C476" s="533"/>
      <c r="D476" s="268" t="s">
        <v>213</v>
      </c>
      <c r="E476" s="295" t="s">
        <v>506</v>
      </c>
      <c r="F476" s="343"/>
      <c r="G476" s="343">
        <v>0</v>
      </c>
      <c r="H476" s="289" t="s">
        <v>237</v>
      </c>
      <c r="I476" s="289" t="s">
        <v>886</v>
      </c>
      <c r="J476" s="290"/>
      <c r="K476" s="40"/>
      <c r="O476" s="351"/>
      <c r="P476" s="267">
        <f t="shared" si="13"/>
        <v>0</v>
      </c>
      <c r="W476"/>
      <c r="X476"/>
    </row>
    <row r="477" spans="1:24" ht="15.75" customHeight="1" x14ac:dyDescent="0.25">
      <c r="A477" s="630"/>
      <c r="B477" s="574"/>
      <c r="C477" s="533"/>
      <c r="D477" s="269" t="s">
        <v>215</v>
      </c>
      <c r="E477" s="289" t="s">
        <v>504</v>
      </c>
      <c r="F477" s="359">
        <f>F475/0.9*20</f>
        <v>0</v>
      </c>
      <c r="G477" s="359">
        <v>0</v>
      </c>
      <c r="H477" s="56" t="s">
        <v>276</v>
      </c>
      <c r="I477" s="289" t="s">
        <v>887</v>
      </c>
      <c r="J477" s="290"/>
      <c r="K477" s="40"/>
      <c r="O477" s="351"/>
      <c r="P477" s="267">
        <f t="shared" si="13"/>
        <v>0</v>
      </c>
      <c r="W477"/>
      <c r="X477"/>
    </row>
    <row r="478" spans="1:24" ht="15.75" customHeight="1" thickBot="1" x14ac:dyDescent="0.3">
      <c r="A478" s="630"/>
      <c r="B478" s="574"/>
      <c r="C478" s="532"/>
      <c r="D478" s="299" t="s">
        <v>589</v>
      </c>
      <c r="E478" s="285" t="s">
        <v>590</v>
      </c>
      <c r="F478" s="357"/>
      <c r="G478" s="357">
        <v>0</v>
      </c>
      <c r="H478" s="285" t="s">
        <v>477</v>
      </c>
      <c r="I478" s="285"/>
      <c r="J478" s="286"/>
      <c r="K478" s="40"/>
      <c r="O478" s="351"/>
      <c r="P478" s="267">
        <f t="shared" si="13"/>
        <v>0</v>
      </c>
      <c r="W478"/>
      <c r="X478"/>
    </row>
    <row r="479" spans="1:24" ht="15.75" customHeight="1" x14ac:dyDescent="0.25">
      <c r="A479" s="630"/>
      <c r="B479" s="574"/>
      <c r="C479" s="529" t="s">
        <v>821</v>
      </c>
      <c r="D479" s="302" t="s">
        <v>290</v>
      </c>
      <c r="E479" s="303" t="s">
        <v>524</v>
      </c>
      <c r="F479" s="342"/>
      <c r="G479" s="342">
        <v>0</v>
      </c>
      <c r="H479" s="287" t="s">
        <v>394</v>
      </c>
      <c r="I479" s="287" t="s">
        <v>888</v>
      </c>
      <c r="J479" s="288" t="s">
        <v>823</v>
      </c>
      <c r="K479" s="40"/>
      <c r="O479" s="351"/>
      <c r="P479" s="267">
        <f t="shared" si="13"/>
        <v>0</v>
      </c>
      <c r="W479"/>
      <c r="X479"/>
    </row>
    <row r="480" spans="1:24" ht="15.75" customHeight="1" x14ac:dyDescent="0.25">
      <c r="A480" s="630"/>
      <c r="B480" s="574"/>
      <c r="C480" s="530"/>
      <c r="D480" s="132" t="s">
        <v>290</v>
      </c>
      <c r="E480" s="304" t="s">
        <v>526</v>
      </c>
      <c r="F480" s="343"/>
      <c r="G480" s="343">
        <v>0</v>
      </c>
      <c r="H480" s="289" t="s">
        <v>394</v>
      </c>
      <c r="I480" s="289" t="s">
        <v>889</v>
      </c>
      <c r="J480" s="290" t="s">
        <v>527</v>
      </c>
      <c r="K480" s="40"/>
      <c r="O480" s="351"/>
      <c r="P480" s="267">
        <f t="shared" si="13"/>
        <v>0</v>
      </c>
      <c r="W480"/>
      <c r="X480"/>
    </row>
    <row r="481" spans="1:24" ht="15.75" customHeight="1" x14ac:dyDescent="0.25">
      <c r="A481" s="630"/>
      <c r="B481" s="574"/>
      <c r="C481" s="530"/>
      <c r="D481" s="132" t="s">
        <v>290</v>
      </c>
      <c r="E481" s="304" t="s">
        <v>528</v>
      </c>
      <c r="F481" s="343"/>
      <c r="G481" s="343">
        <v>0</v>
      </c>
      <c r="H481" s="289" t="s">
        <v>394</v>
      </c>
      <c r="I481" s="289" t="s">
        <v>889</v>
      </c>
      <c r="J481" s="290"/>
      <c r="K481" s="40"/>
      <c r="O481" s="351"/>
      <c r="P481" s="267">
        <f t="shared" si="13"/>
        <v>0</v>
      </c>
      <c r="W481"/>
      <c r="X481"/>
    </row>
    <row r="482" spans="1:24" ht="15.75" customHeight="1" x14ac:dyDescent="0.25">
      <c r="A482" s="630"/>
      <c r="B482" s="574"/>
      <c r="C482" s="530"/>
      <c r="D482" s="132" t="s">
        <v>290</v>
      </c>
      <c r="E482" s="304" t="s">
        <v>529</v>
      </c>
      <c r="F482" s="343"/>
      <c r="G482" s="343">
        <v>0</v>
      </c>
      <c r="H482" s="289" t="s">
        <v>394</v>
      </c>
      <c r="I482" s="289" t="s">
        <v>889</v>
      </c>
      <c r="J482" s="290"/>
      <c r="K482" s="40"/>
      <c r="O482" s="351"/>
      <c r="P482" s="267">
        <f t="shared" si="13"/>
        <v>0</v>
      </c>
      <c r="W482"/>
      <c r="X482"/>
    </row>
    <row r="483" spans="1:24" ht="15.75" customHeight="1" x14ac:dyDescent="0.25">
      <c r="A483" s="630"/>
      <c r="B483" s="574"/>
      <c r="C483" s="530"/>
      <c r="D483" s="132" t="s">
        <v>290</v>
      </c>
      <c r="E483" s="305" t="s">
        <v>530</v>
      </c>
      <c r="F483" s="343"/>
      <c r="G483" s="343">
        <v>0</v>
      </c>
      <c r="H483" s="289" t="s">
        <v>394</v>
      </c>
      <c r="I483" s="289" t="s">
        <v>888</v>
      </c>
      <c r="J483" s="290"/>
      <c r="K483" s="40"/>
      <c r="O483" s="351"/>
      <c r="P483" s="267">
        <f t="shared" si="13"/>
        <v>0</v>
      </c>
      <c r="W483"/>
      <c r="X483"/>
    </row>
    <row r="484" spans="1:24" ht="15.75" customHeight="1" x14ac:dyDescent="0.25">
      <c r="A484" s="630"/>
      <c r="B484" s="574"/>
      <c r="C484" s="530"/>
      <c r="D484" s="186" t="s">
        <v>290</v>
      </c>
      <c r="E484" s="187" t="s">
        <v>531</v>
      </c>
      <c r="F484" s="102"/>
      <c r="G484" s="102">
        <v>0</v>
      </c>
      <c r="H484" s="60" t="s">
        <v>394</v>
      </c>
      <c r="I484" s="60" t="s">
        <v>889</v>
      </c>
      <c r="J484" s="73"/>
      <c r="K484" s="40"/>
      <c r="O484" s="351"/>
      <c r="P484" s="267">
        <f t="shared" si="13"/>
        <v>0</v>
      </c>
      <c r="W484"/>
      <c r="X484"/>
    </row>
    <row r="485" spans="1:24" ht="15.75" customHeight="1" x14ac:dyDescent="0.25">
      <c r="A485" s="630"/>
      <c r="B485" s="574"/>
      <c r="C485" s="530"/>
      <c r="D485" s="270" t="s">
        <v>290</v>
      </c>
      <c r="E485" s="305" t="s">
        <v>861</v>
      </c>
      <c r="F485" s="343"/>
      <c r="G485" s="343">
        <v>0</v>
      </c>
      <c r="H485" s="289" t="s">
        <v>394</v>
      </c>
      <c r="I485" s="280" t="s">
        <v>880</v>
      </c>
      <c r="J485" s="73"/>
      <c r="K485" s="40"/>
      <c r="O485" s="351"/>
      <c r="P485" s="267"/>
      <c r="W485"/>
      <c r="X485"/>
    </row>
    <row r="486" spans="1:24" ht="15.75" customHeight="1" thickBot="1" x14ac:dyDescent="0.3">
      <c r="A486" s="631"/>
      <c r="B486" s="576"/>
      <c r="C486" s="531"/>
      <c r="D486" s="186" t="s">
        <v>290</v>
      </c>
      <c r="E486" s="187" t="s">
        <v>863</v>
      </c>
      <c r="F486" s="102"/>
      <c r="G486" s="102">
        <v>0</v>
      </c>
      <c r="H486" s="60" t="s">
        <v>394</v>
      </c>
      <c r="I486" s="280" t="s">
        <v>880</v>
      </c>
      <c r="J486" s="73"/>
      <c r="K486" s="40"/>
      <c r="O486" s="351"/>
      <c r="P486" s="267"/>
      <c r="W486"/>
      <c r="X486"/>
    </row>
    <row r="487" spans="1:24" ht="15.75" customHeight="1" x14ac:dyDescent="0.25">
      <c r="A487" s="559" t="s">
        <v>892</v>
      </c>
      <c r="B487" s="585"/>
      <c r="C487" s="530" t="s">
        <v>1189</v>
      </c>
      <c r="D487" s="281" t="s">
        <v>207</v>
      </c>
      <c r="E487" s="157" t="s">
        <v>630</v>
      </c>
      <c r="F487" s="342"/>
      <c r="G487" s="342">
        <v>0</v>
      </c>
      <c r="H487" s="287" t="s">
        <v>276</v>
      </c>
      <c r="I487" s="287" t="s">
        <v>1159</v>
      </c>
      <c r="J487" s="288"/>
      <c r="K487" s="40"/>
      <c r="O487" s="351">
        <v>5.37</v>
      </c>
      <c r="P487" s="267">
        <f t="shared" ref="P487:P493" si="14">O487*F487</f>
        <v>0</v>
      </c>
      <c r="W487"/>
      <c r="X487"/>
    </row>
    <row r="488" spans="1:24" ht="15.75" customHeight="1" thickBot="1" x14ac:dyDescent="0.3">
      <c r="A488" s="612"/>
      <c r="B488" s="587"/>
      <c r="C488" s="533"/>
      <c r="D488" s="104" t="s">
        <v>215</v>
      </c>
      <c r="E488" s="60" t="s">
        <v>871</v>
      </c>
      <c r="F488" s="96">
        <f>F487*20</f>
        <v>0</v>
      </c>
      <c r="G488" s="96">
        <v>0</v>
      </c>
      <c r="H488" s="60" t="s">
        <v>276</v>
      </c>
      <c r="I488" s="60"/>
      <c r="J488" s="73"/>
      <c r="K488" s="40"/>
      <c r="O488" s="351"/>
      <c r="P488" s="267">
        <f t="shared" si="14"/>
        <v>0</v>
      </c>
      <c r="W488"/>
      <c r="X488"/>
    </row>
    <row r="489" spans="1:24" ht="15.75" customHeight="1" x14ac:dyDescent="0.25">
      <c r="A489" s="612"/>
      <c r="B489" s="587"/>
      <c r="C489" s="529" t="s">
        <v>1189</v>
      </c>
      <c r="D489" s="281" t="s">
        <v>207</v>
      </c>
      <c r="E489" s="282" t="s">
        <v>551</v>
      </c>
      <c r="F489" s="342"/>
      <c r="G489" s="342">
        <v>0</v>
      </c>
      <c r="H489" s="287" t="s">
        <v>276</v>
      </c>
      <c r="I489" s="287" t="s">
        <v>1159</v>
      </c>
      <c r="J489" s="288"/>
      <c r="K489" s="40"/>
      <c r="O489" s="351">
        <v>2.0299999999999998</v>
      </c>
      <c r="P489" s="267">
        <f t="shared" si="14"/>
        <v>0</v>
      </c>
      <c r="W489"/>
      <c r="X489"/>
    </row>
    <row r="490" spans="1:24" ht="15.75" customHeight="1" thickBot="1" x14ac:dyDescent="0.3">
      <c r="A490" s="612"/>
      <c r="B490" s="587"/>
      <c r="C490" s="532"/>
      <c r="D490" s="283" t="s">
        <v>215</v>
      </c>
      <c r="E490" s="300" t="s">
        <v>745</v>
      </c>
      <c r="F490" s="353">
        <f>F489*10</f>
        <v>0</v>
      </c>
      <c r="G490" s="353">
        <v>0</v>
      </c>
      <c r="H490" s="285" t="s">
        <v>276</v>
      </c>
      <c r="I490" s="285" t="s">
        <v>893</v>
      </c>
      <c r="J490" s="286"/>
      <c r="K490" s="40"/>
      <c r="O490" s="351"/>
      <c r="P490" s="267">
        <f t="shared" si="14"/>
        <v>0</v>
      </c>
      <c r="W490"/>
      <c r="X490"/>
    </row>
    <row r="491" spans="1:24" ht="15.75" customHeight="1" x14ac:dyDescent="0.25">
      <c r="A491" s="612"/>
      <c r="B491" s="587"/>
      <c r="C491" s="547" t="s">
        <v>1190</v>
      </c>
      <c r="D491" s="281" t="s">
        <v>207</v>
      </c>
      <c r="E491" s="282" t="s">
        <v>553</v>
      </c>
      <c r="F491" s="342"/>
      <c r="G491" s="342">
        <v>0</v>
      </c>
      <c r="H491" s="287" t="s">
        <v>276</v>
      </c>
      <c r="I491" s="287" t="s">
        <v>1191</v>
      </c>
      <c r="J491" s="313"/>
      <c r="K491" s="40"/>
      <c r="O491" s="351">
        <v>6.07</v>
      </c>
      <c r="P491" s="267">
        <f t="shared" si="14"/>
        <v>0</v>
      </c>
      <c r="W491"/>
      <c r="X491"/>
    </row>
    <row r="492" spans="1:24" ht="15.75" customHeight="1" x14ac:dyDescent="0.25">
      <c r="A492" s="612"/>
      <c r="B492" s="587"/>
      <c r="C492" s="620"/>
      <c r="D492" s="105" t="s">
        <v>215</v>
      </c>
      <c r="E492" s="86" t="s">
        <v>894</v>
      </c>
      <c r="F492" s="190">
        <v>1</v>
      </c>
      <c r="G492" s="190">
        <v>1</v>
      </c>
      <c r="H492" s="56" t="s">
        <v>276</v>
      </c>
      <c r="I492" s="56" t="s">
        <v>895</v>
      </c>
      <c r="J492" s="131"/>
      <c r="K492" s="40"/>
      <c r="O492" s="351"/>
      <c r="P492" s="267">
        <f t="shared" si="14"/>
        <v>0</v>
      </c>
      <c r="W492"/>
      <c r="X492"/>
    </row>
    <row r="493" spans="1:24" ht="14.25" customHeight="1" thickBot="1" x14ac:dyDescent="0.3">
      <c r="A493" s="612"/>
      <c r="B493" s="587"/>
      <c r="C493" s="632"/>
      <c r="D493" s="104" t="s">
        <v>215</v>
      </c>
      <c r="E493" s="295" t="s">
        <v>627</v>
      </c>
      <c r="F493" s="96">
        <f>F491*10</f>
        <v>0</v>
      </c>
      <c r="G493" s="96">
        <v>0</v>
      </c>
      <c r="H493" s="60" t="s">
        <v>276</v>
      </c>
      <c r="I493" s="60" t="s">
        <v>893</v>
      </c>
      <c r="J493" s="88"/>
      <c r="K493" s="40"/>
      <c r="O493" s="351"/>
      <c r="P493" s="267">
        <f t="shared" si="14"/>
        <v>0</v>
      </c>
      <c r="W493"/>
      <c r="X493"/>
    </row>
    <row r="494" spans="1:24" ht="14.25" customHeight="1" x14ac:dyDescent="0.25">
      <c r="A494" s="612"/>
      <c r="B494" s="587"/>
      <c r="C494" s="529" t="s">
        <v>896</v>
      </c>
      <c r="D494" s="166" t="s">
        <v>207</v>
      </c>
      <c r="E494" s="101" t="s">
        <v>348</v>
      </c>
      <c r="F494" s="117"/>
      <c r="G494" s="117">
        <v>0</v>
      </c>
      <c r="H494" s="101" t="s">
        <v>276</v>
      </c>
      <c r="I494" s="101" t="s">
        <v>897</v>
      </c>
      <c r="J494" s="151"/>
      <c r="K494" s="40"/>
      <c r="L494" s="40"/>
      <c r="M494" s="40"/>
      <c r="N494" s="40"/>
      <c r="O494" s="351"/>
      <c r="P494" s="267"/>
      <c r="Q494" s="40"/>
      <c r="R494" s="40"/>
      <c r="S494" s="40"/>
      <c r="T494" s="40"/>
      <c r="U494" s="40"/>
      <c r="V494" s="40"/>
      <c r="W494"/>
      <c r="X494"/>
    </row>
    <row r="495" spans="1:24" ht="14.25" customHeight="1" x14ac:dyDescent="0.25">
      <c r="A495" s="612"/>
      <c r="B495" s="587"/>
      <c r="C495" s="533"/>
      <c r="D495" s="266" t="s">
        <v>207</v>
      </c>
      <c r="E495" s="289" t="s">
        <v>312</v>
      </c>
      <c r="F495" s="343"/>
      <c r="G495" s="343">
        <v>0</v>
      </c>
      <c r="H495" s="289" t="s">
        <v>276</v>
      </c>
      <c r="I495" s="289" t="s">
        <v>897</v>
      </c>
      <c r="J495" s="316"/>
      <c r="K495" s="40"/>
      <c r="L495" s="40"/>
      <c r="M495" s="40"/>
      <c r="N495" s="40"/>
      <c r="O495" s="351"/>
      <c r="P495" s="267"/>
      <c r="Q495" s="40"/>
      <c r="R495" s="40"/>
      <c r="S495" s="40"/>
      <c r="T495" s="40"/>
      <c r="U495" s="40"/>
      <c r="V495" s="40"/>
      <c r="W495"/>
      <c r="X495"/>
    </row>
    <row r="496" spans="1:24" ht="14.25" customHeight="1" thickBot="1" x14ac:dyDescent="0.3">
      <c r="A496" s="612"/>
      <c r="B496" s="587"/>
      <c r="C496" s="532"/>
      <c r="D496" s="130" t="s">
        <v>207</v>
      </c>
      <c r="E496" s="98" t="s">
        <v>310</v>
      </c>
      <c r="F496" s="125"/>
      <c r="G496" s="125">
        <v>0</v>
      </c>
      <c r="H496" s="126" t="s">
        <v>276</v>
      </c>
      <c r="I496" s="126" t="s">
        <v>897</v>
      </c>
      <c r="J496" s="163"/>
      <c r="K496" s="40"/>
      <c r="L496" s="40"/>
      <c r="M496" s="40"/>
      <c r="N496" s="40"/>
      <c r="O496" s="351"/>
      <c r="P496" s="267"/>
      <c r="Q496" s="40"/>
      <c r="R496" s="40"/>
      <c r="S496" s="40"/>
      <c r="T496" s="40"/>
      <c r="U496" s="40"/>
      <c r="V496" s="40"/>
      <c r="W496"/>
      <c r="X496"/>
    </row>
    <row r="497" spans="1:24" ht="15.75" customHeight="1" x14ac:dyDescent="0.25">
      <c r="A497" s="612"/>
      <c r="B497" s="587"/>
      <c r="C497" s="529" t="s">
        <v>849</v>
      </c>
      <c r="D497" s="298" t="s">
        <v>213</v>
      </c>
      <c r="E497" s="323" t="s">
        <v>850</v>
      </c>
      <c r="F497" s="342"/>
      <c r="G497" s="342">
        <v>0</v>
      </c>
      <c r="H497" s="287" t="s">
        <v>158</v>
      </c>
      <c r="I497" s="287" t="s">
        <v>898</v>
      </c>
      <c r="J497" s="288" t="s">
        <v>899</v>
      </c>
      <c r="K497" s="40"/>
      <c r="O497" s="351"/>
      <c r="P497" s="267">
        <f t="shared" ref="P497:P507" si="15">O497*F497</f>
        <v>0</v>
      </c>
      <c r="W497"/>
      <c r="X497"/>
    </row>
    <row r="498" spans="1:24" ht="15.75" customHeight="1" thickBot="1" x14ac:dyDescent="0.3">
      <c r="A498" s="612"/>
      <c r="B498" s="587"/>
      <c r="C498" s="532"/>
      <c r="D498" s="283" t="s">
        <v>215</v>
      </c>
      <c r="E498" s="285" t="s">
        <v>504</v>
      </c>
      <c r="F498" s="353">
        <f>F497/0.9*10</f>
        <v>0</v>
      </c>
      <c r="G498" s="353">
        <v>0</v>
      </c>
      <c r="H498" s="285" t="s">
        <v>276</v>
      </c>
      <c r="I498" s="285" t="s">
        <v>900</v>
      </c>
      <c r="J498" s="286"/>
      <c r="K498" s="40"/>
      <c r="O498" s="351"/>
      <c r="P498" s="267">
        <f t="shared" si="15"/>
        <v>0</v>
      </c>
      <c r="W498"/>
      <c r="X498"/>
    </row>
    <row r="499" spans="1:24" ht="15.75" customHeight="1" x14ac:dyDescent="0.25">
      <c r="A499" s="612"/>
      <c r="B499" s="587"/>
      <c r="C499" s="529" t="s">
        <v>874</v>
      </c>
      <c r="D499" s="298" t="s">
        <v>213</v>
      </c>
      <c r="E499" s="287" t="s">
        <v>318</v>
      </c>
      <c r="F499" s="342"/>
      <c r="G499" s="343">
        <v>0</v>
      </c>
      <c r="H499" s="287" t="s">
        <v>158</v>
      </c>
      <c r="I499" s="287" t="s">
        <v>901</v>
      </c>
      <c r="J499" s="288"/>
      <c r="K499" s="40"/>
      <c r="O499" s="351"/>
      <c r="P499" s="267">
        <f t="shared" si="15"/>
        <v>0</v>
      </c>
      <c r="W499"/>
      <c r="X499"/>
    </row>
    <row r="500" spans="1:24" ht="15.75" customHeight="1" x14ac:dyDescent="0.25">
      <c r="A500" s="612"/>
      <c r="B500" s="587"/>
      <c r="C500" s="533"/>
      <c r="D500" s="268" t="s">
        <v>213</v>
      </c>
      <c r="E500" s="295" t="s">
        <v>506</v>
      </c>
      <c r="F500" s="343"/>
      <c r="G500" s="343">
        <v>0</v>
      </c>
      <c r="H500" s="289" t="s">
        <v>237</v>
      </c>
      <c r="I500" s="289" t="s">
        <v>902</v>
      </c>
      <c r="J500" s="290"/>
      <c r="K500" s="40"/>
      <c r="O500" s="351"/>
      <c r="P500" s="267">
        <f t="shared" si="15"/>
        <v>0</v>
      </c>
      <c r="W500"/>
      <c r="X500"/>
    </row>
    <row r="501" spans="1:24" ht="15.75" customHeight="1" thickBot="1" x14ac:dyDescent="0.3">
      <c r="A501" s="612"/>
      <c r="B501" s="587"/>
      <c r="C501" s="533"/>
      <c r="D501" s="269" t="s">
        <v>215</v>
      </c>
      <c r="E501" s="289" t="s">
        <v>903</v>
      </c>
      <c r="F501" s="359">
        <f>F499/0.9*13</f>
        <v>0</v>
      </c>
      <c r="G501" s="359">
        <v>0</v>
      </c>
      <c r="H501" s="289" t="s">
        <v>276</v>
      </c>
      <c r="I501" s="289" t="s">
        <v>904</v>
      </c>
      <c r="J501" s="290"/>
      <c r="K501" s="40"/>
      <c r="O501" s="351"/>
      <c r="P501" s="267">
        <f t="shared" si="15"/>
        <v>0</v>
      </c>
      <c r="W501"/>
      <c r="X501"/>
    </row>
    <row r="502" spans="1:24" ht="15.75" customHeight="1" x14ac:dyDescent="0.25">
      <c r="A502" s="612"/>
      <c r="B502" s="587"/>
      <c r="C502" s="529" t="s">
        <v>821</v>
      </c>
      <c r="D502" s="302" t="s">
        <v>290</v>
      </c>
      <c r="E502" s="303" t="s">
        <v>524</v>
      </c>
      <c r="F502" s="342"/>
      <c r="G502" s="342">
        <v>0</v>
      </c>
      <c r="H502" s="287" t="s">
        <v>394</v>
      </c>
      <c r="I502" s="282" t="s">
        <v>905</v>
      </c>
      <c r="J502" s="288" t="s">
        <v>823</v>
      </c>
      <c r="K502" s="40"/>
      <c r="O502" s="351"/>
      <c r="P502" s="267">
        <f t="shared" si="15"/>
        <v>0</v>
      </c>
      <c r="W502"/>
      <c r="X502"/>
    </row>
    <row r="503" spans="1:24" ht="15.75" customHeight="1" x14ac:dyDescent="0.25">
      <c r="A503" s="612"/>
      <c r="B503" s="587"/>
      <c r="C503" s="533"/>
      <c r="D503" s="132" t="s">
        <v>290</v>
      </c>
      <c r="E503" s="304" t="s">
        <v>526</v>
      </c>
      <c r="F503" s="343"/>
      <c r="G503" s="343">
        <v>0</v>
      </c>
      <c r="H503" s="289" t="s">
        <v>394</v>
      </c>
      <c r="I503" s="280" t="s">
        <v>905</v>
      </c>
      <c r="J503" s="290" t="s">
        <v>527</v>
      </c>
      <c r="K503" s="40"/>
      <c r="O503" s="351"/>
      <c r="P503" s="267">
        <f t="shared" si="15"/>
        <v>0</v>
      </c>
      <c r="W503"/>
      <c r="X503"/>
    </row>
    <row r="504" spans="1:24" ht="15.75" customHeight="1" x14ac:dyDescent="0.25">
      <c r="A504" s="612"/>
      <c r="B504" s="587"/>
      <c r="C504" s="533"/>
      <c r="D504" s="132" t="s">
        <v>290</v>
      </c>
      <c r="E504" s="433" t="s">
        <v>528</v>
      </c>
      <c r="F504" s="343"/>
      <c r="G504" s="343">
        <v>0</v>
      </c>
      <c r="H504" s="289" t="s">
        <v>394</v>
      </c>
      <c r="I504" s="280" t="s">
        <v>905</v>
      </c>
      <c r="J504" s="290"/>
      <c r="K504" s="40"/>
      <c r="O504" s="351"/>
      <c r="P504" s="267">
        <f t="shared" si="15"/>
        <v>0</v>
      </c>
      <c r="W504"/>
      <c r="X504"/>
    </row>
    <row r="505" spans="1:24" ht="15.75" customHeight="1" thickBot="1" x14ac:dyDescent="0.3">
      <c r="A505" s="613"/>
      <c r="B505" s="589"/>
      <c r="C505" s="532"/>
      <c r="D505" s="133" t="s">
        <v>290</v>
      </c>
      <c r="E505" s="434" t="s">
        <v>529</v>
      </c>
      <c r="F505" s="357"/>
      <c r="G505" s="357">
        <v>0</v>
      </c>
      <c r="H505" s="285" t="s">
        <v>394</v>
      </c>
      <c r="I505" s="292" t="s">
        <v>905</v>
      </c>
      <c r="J505" s="286"/>
      <c r="K505" s="40"/>
      <c r="O505" s="351"/>
      <c r="P505" s="267">
        <f t="shared" si="15"/>
        <v>0</v>
      </c>
      <c r="W505"/>
      <c r="X505"/>
    </row>
    <row r="506" spans="1:24" ht="15.75" customHeight="1" x14ac:dyDescent="0.25">
      <c r="A506" s="558" t="s">
        <v>908</v>
      </c>
      <c r="B506" s="572"/>
      <c r="C506" s="530" t="s">
        <v>906</v>
      </c>
      <c r="D506" s="97" t="s">
        <v>207</v>
      </c>
      <c r="E506" s="98" t="s">
        <v>310</v>
      </c>
      <c r="F506" s="85"/>
      <c r="G506" s="85">
        <v>0</v>
      </c>
      <c r="H506" s="56" t="s">
        <v>276</v>
      </c>
      <c r="I506" s="56" t="s">
        <v>907</v>
      </c>
      <c r="J506" s="131"/>
      <c r="K506" s="40"/>
      <c r="O506" s="351">
        <v>12.82</v>
      </c>
      <c r="P506" s="267">
        <f t="shared" si="15"/>
        <v>0</v>
      </c>
      <c r="W506"/>
      <c r="X506"/>
    </row>
    <row r="507" spans="1:24" ht="15.75" customHeight="1" x14ac:dyDescent="0.25">
      <c r="A507" s="573"/>
      <c r="B507" s="574"/>
      <c r="C507" s="533"/>
      <c r="D507" s="266" t="s">
        <v>207</v>
      </c>
      <c r="E507" s="280" t="s">
        <v>312</v>
      </c>
      <c r="F507" s="343"/>
      <c r="G507" s="343">
        <v>0</v>
      </c>
      <c r="H507" s="289" t="s">
        <v>276</v>
      </c>
      <c r="I507" s="289" t="s">
        <v>909</v>
      </c>
      <c r="J507" s="316"/>
      <c r="K507" s="40"/>
      <c r="O507" s="351">
        <v>19.23</v>
      </c>
      <c r="P507" s="267">
        <f t="shared" si="15"/>
        <v>0</v>
      </c>
      <c r="W507"/>
      <c r="X507"/>
    </row>
    <row r="508" spans="1:24" ht="15.75" customHeight="1" x14ac:dyDescent="0.25">
      <c r="A508" s="573"/>
      <c r="B508" s="574"/>
      <c r="C508" s="533"/>
      <c r="D508" s="266" t="s">
        <v>207</v>
      </c>
      <c r="E508" s="280" t="s">
        <v>348</v>
      </c>
      <c r="F508" s="343"/>
      <c r="G508" s="343">
        <v>0</v>
      </c>
      <c r="H508" s="289" t="s">
        <v>276</v>
      </c>
      <c r="I508" s="289" t="s">
        <v>909</v>
      </c>
      <c r="J508" s="316"/>
      <c r="K508" s="40"/>
      <c r="O508" s="351"/>
      <c r="P508" s="267"/>
      <c r="W508"/>
      <c r="X508"/>
    </row>
    <row r="509" spans="1:24" ht="15.75" customHeight="1" x14ac:dyDescent="0.25">
      <c r="A509" s="573"/>
      <c r="B509" s="574"/>
      <c r="C509" s="533"/>
      <c r="D509" s="269" t="s">
        <v>215</v>
      </c>
      <c r="E509" s="280" t="s">
        <v>935</v>
      </c>
      <c r="F509" s="343"/>
      <c r="G509" s="343">
        <v>0</v>
      </c>
      <c r="H509" s="289" t="s">
        <v>276</v>
      </c>
      <c r="I509" s="280" t="s">
        <v>1192</v>
      </c>
      <c r="J509" s="280"/>
      <c r="K509" s="40"/>
      <c r="O509" s="351"/>
      <c r="P509" s="267">
        <f t="shared" ref="P509:P527" si="16">O509*F509</f>
        <v>0</v>
      </c>
      <c r="W509"/>
      <c r="X509"/>
    </row>
    <row r="510" spans="1:24" ht="15.75" customHeight="1" x14ac:dyDescent="0.25">
      <c r="A510" s="573"/>
      <c r="B510" s="574"/>
      <c r="C510" s="533"/>
      <c r="D510" s="269" t="s">
        <v>215</v>
      </c>
      <c r="E510" s="311" t="s">
        <v>742</v>
      </c>
      <c r="F510" s="343"/>
      <c r="G510" s="343">
        <v>0</v>
      </c>
      <c r="H510" s="289" t="s">
        <v>276</v>
      </c>
      <c r="I510" s="40" t="s">
        <v>910</v>
      </c>
      <c r="J510" s="289" t="s">
        <v>747</v>
      </c>
      <c r="K510" s="40"/>
      <c r="O510" s="351"/>
      <c r="P510" s="267">
        <f t="shared" si="16"/>
        <v>0</v>
      </c>
      <c r="W510"/>
      <c r="X510"/>
    </row>
    <row r="511" spans="1:24" ht="15.75" customHeight="1" thickBot="1" x14ac:dyDescent="0.3">
      <c r="A511" s="573"/>
      <c r="B511" s="574"/>
      <c r="C511" s="533"/>
      <c r="D511" s="186" t="s">
        <v>290</v>
      </c>
      <c r="E511" s="89" t="s">
        <v>866</v>
      </c>
      <c r="F511" s="102"/>
      <c r="G511" s="102">
        <v>0</v>
      </c>
      <c r="H511" s="60" t="s">
        <v>276</v>
      </c>
      <c r="I511" s="75" t="s">
        <v>911</v>
      </c>
      <c r="J511" s="73"/>
      <c r="K511" s="40"/>
      <c r="O511" s="351"/>
      <c r="P511" s="267">
        <f t="shared" si="16"/>
        <v>0</v>
      </c>
      <c r="W511"/>
      <c r="X511"/>
    </row>
    <row r="512" spans="1:24" ht="15.75" customHeight="1" x14ac:dyDescent="0.25">
      <c r="A512" s="573"/>
      <c r="B512" s="574"/>
      <c r="C512" s="529" t="s">
        <v>821</v>
      </c>
      <c r="D512" s="302" t="s">
        <v>290</v>
      </c>
      <c r="E512" s="303" t="s">
        <v>524</v>
      </c>
      <c r="F512" s="342"/>
      <c r="G512" s="342">
        <v>0</v>
      </c>
      <c r="H512" s="287" t="s">
        <v>394</v>
      </c>
      <c r="I512" s="287" t="s">
        <v>912</v>
      </c>
      <c r="J512" s="288" t="s">
        <v>823</v>
      </c>
      <c r="K512" s="40"/>
      <c r="O512" s="351">
        <v>2.1800000000000002</v>
      </c>
      <c r="P512" s="267">
        <f t="shared" si="16"/>
        <v>0</v>
      </c>
      <c r="W512"/>
      <c r="X512"/>
    </row>
    <row r="513" spans="1:24" ht="15.75" customHeight="1" x14ac:dyDescent="0.25">
      <c r="A513" s="573"/>
      <c r="B513" s="574"/>
      <c r="C513" s="533"/>
      <c r="D513" s="132" t="s">
        <v>290</v>
      </c>
      <c r="E513" s="304" t="s">
        <v>526</v>
      </c>
      <c r="F513" s="343"/>
      <c r="G513" s="343">
        <v>0</v>
      </c>
      <c r="H513" s="289" t="s">
        <v>394</v>
      </c>
      <c r="I513" s="289" t="s">
        <v>912</v>
      </c>
      <c r="J513" s="290" t="s">
        <v>527</v>
      </c>
      <c r="K513" s="40"/>
      <c r="O513" s="351">
        <v>2.1800000000000002</v>
      </c>
      <c r="P513" s="267">
        <f t="shared" si="16"/>
        <v>0</v>
      </c>
      <c r="W513"/>
      <c r="X513"/>
    </row>
    <row r="514" spans="1:24" ht="15.75" customHeight="1" x14ac:dyDescent="0.25">
      <c r="A514" s="573"/>
      <c r="B514" s="574"/>
      <c r="C514" s="533"/>
      <c r="D514" s="132" t="s">
        <v>290</v>
      </c>
      <c r="E514" s="304" t="s">
        <v>528</v>
      </c>
      <c r="F514" s="343"/>
      <c r="G514" s="343">
        <v>0</v>
      </c>
      <c r="H514" s="289" t="s">
        <v>394</v>
      </c>
      <c r="I514" s="289" t="s">
        <v>912</v>
      </c>
      <c r="J514" s="290"/>
      <c r="K514" s="40"/>
      <c r="O514" s="351"/>
      <c r="P514" s="267">
        <f t="shared" si="16"/>
        <v>0</v>
      </c>
      <c r="W514"/>
      <c r="X514"/>
    </row>
    <row r="515" spans="1:24" ht="15.75" customHeight="1" x14ac:dyDescent="0.25">
      <c r="A515" s="573"/>
      <c r="B515" s="574"/>
      <c r="C515" s="533"/>
      <c r="D515" s="132" t="s">
        <v>290</v>
      </c>
      <c r="E515" s="304" t="s">
        <v>529</v>
      </c>
      <c r="F515" s="343"/>
      <c r="G515" s="343">
        <v>0</v>
      </c>
      <c r="H515" s="289" t="s">
        <v>394</v>
      </c>
      <c r="I515" s="289" t="s">
        <v>912</v>
      </c>
      <c r="J515" s="290"/>
      <c r="K515" s="40"/>
      <c r="O515" s="351"/>
      <c r="P515" s="267">
        <f t="shared" si="16"/>
        <v>0</v>
      </c>
      <c r="W515"/>
      <c r="X515"/>
    </row>
    <row r="516" spans="1:24" ht="15.75" customHeight="1" x14ac:dyDescent="0.25">
      <c r="A516" s="573"/>
      <c r="B516" s="574"/>
      <c r="C516" s="533"/>
      <c r="D516" s="132" t="s">
        <v>290</v>
      </c>
      <c r="E516" s="305" t="s">
        <v>530</v>
      </c>
      <c r="F516" s="343"/>
      <c r="G516" s="343">
        <v>0</v>
      </c>
      <c r="H516" s="289" t="s">
        <v>394</v>
      </c>
      <c r="I516" s="289" t="s">
        <v>912</v>
      </c>
      <c r="J516" s="290"/>
      <c r="K516" s="40"/>
      <c r="O516" s="351"/>
      <c r="P516" s="267">
        <f t="shared" si="16"/>
        <v>0</v>
      </c>
      <c r="W516"/>
      <c r="X516"/>
    </row>
    <row r="517" spans="1:24" ht="15.75" customHeight="1" thickBot="1" x14ac:dyDescent="0.3">
      <c r="A517" s="573"/>
      <c r="B517" s="574"/>
      <c r="C517" s="532"/>
      <c r="D517" s="133" t="s">
        <v>290</v>
      </c>
      <c r="E517" s="396" t="s">
        <v>531</v>
      </c>
      <c r="F517" s="357"/>
      <c r="G517" s="357">
        <v>0</v>
      </c>
      <c r="H517" s="285" t="s">
        <v>394</v>
      </c>
      <c r="I517" s="285" t="s">
        <v>912</v>
      </c>
      <c r="J517" s="286"/>
      <c r="K517" s="40"/>
      <c r="O517" s="351"/>
      <c r="P517" s="267">
        <f t="shared" si="16"/>
        <v>0</v>
      </c>
      <c r="W517"/>
      <c r="X517"/>
    </row>
    <row r="518" spans="1:24" ht="15.75" customHeight="1" x14ac:dyDescent="0.25">
      <c r="A518" s="573"/>
      <c r="B518" s="574"/>
      <c r="C518" s="529" t="s">
        <v>849</v>
      </c>
      <c r="D518" s="298" t="s">
        <v>589</v>
      </c>
      <c r="E518" s="323" t="s">
        <v>850</v>
      </c>
      <c r="F518" s="342"/>
      <c r="G518" s="342">
        <v>0</v>
      </c>
      <c r="H518" s="287" t="s">
        <v>158</v>
      </c>
      <c r="I518" s="287" t="s">
        <v>909</v>
      </c>
      <c r="J518" s="288" t="s">
        <v>913</v>
      </c>
      <c r="K518" s="40"/>
      <c r="O518" s="351"/>
      <c r="P518" s="267">
        <f t="shared" si="16"/>
        <v>0</v>
      </c>
      <c r="W518"/>
      <c r="X518"/>
    </row>
    <row r="519" spans="1:24" ht="15.75" customHeight="1" thickBot="1" x14ac:dyDescent="0.3">
      <c r="A519" s="573"/>
      <c r="B519" s="574"/>
      <c r="C519" s="532"/>
      <c r="D519" s="283" t="s">
        <v>215</v>
      </c>
      <c r="E519" s="285" t="s">
        <v>504</v>
      </c>
      <c r="F519" s="353">
        <f>F518/0.9*10</f>
        <v>0</v>
      </c>
      <c r="G519" s="353">
        <v>0</v>
      </c>
      <c r="H519" s="285" t="s">
        <v>276</v>
      </c>
      <c r="I519" s="285"/>
      <c r="J519" s="286"/>
      <c r="K519" s="40"/>
      <c r="O519" s="351"/>
      <c r="P519" s="267">
        <f t="shared" si="16"/>
        <v>0</v>
      </c>
      <c r="W519"/>
      <c r="X519"/>
    </row>
    <row r="520" spans="1:24" ht="15.75" customHeight="1" x14ac:dyDescent="0.25">
      <c r="A520" s="573"/>
      <c r="B520" s="574"/>
      <c r="C520" s="547" t="s">
        <v>874</v>
      </c>
      <c r="D520" s="298" t="s">
        <v>213</v>
      </c>
      <c r="E520" s="289" t="s">
        <v>914</v>
      </c>
      <c r="F520" s="342"/>
      <c r="G520" s="342">
        <v>0</v>
      </c>
      <c r="H520" s="282" t="s">
        <v>158</v>
      </c>
      <c r="I520" s="282"/>
      <c r="J520" s="288"/>
      <c r="K520" s="40"/>
      <c r="O520" s="351"/>
      <c r="P520" s="267">
        <f t="shared" si="16"/>
        <v>0</v>
      </c>
      <c r="W520"/>
      <c r="X520"/>
    </row>
    <row r="521" spans="1:24" ht="15.75" customHeight="1" thickBot="1" x14ac:dyDescent="0.3">
      <c r="A521" s="573"/>
      <c r="B521" s="574"/>
      <c r="C521" s="532"/>
      <c r="D521" s="283" t="s">
        <v>215</v>
      </c>
      <c r="E521" s="285" t="s">
        <v>504</v>
      </c>
      <c r="F521" s="353">
        <f>F520/0.9*10</f>
        <v>0</v>
      </c>
      <c r="G521" s="353">
        <v>0</v>
      </c>
      <c r="H521" s="285" t="s">
        <v>276</v>
      </c>
      <c r="I521" s="285"/>
      <c r="J521" s="286"/>
      <c r="K521" s="40"/>
      <c r="O521" s="351"/>
      <c r="P521" s="267">
        <f t="shared" si="16"/>
        <v>0</v>
      </c>
      <c r="W521"/>
      <c r="X521"/>
    </row>
    <row r="522" spans="1:24" ht="15.75" customHeight="1" x14ac:dyDescent="0.25">
      <c r="A522" s="573"/>
      <c r="B522" s="574"/>
      <c r="C522" s="529" t="s">
        <v>1189</v>
      </c>
      <c r="D522" s="281" t="s">
        <v>207</v>
      </c>
      <c r="E522" s="95" t="s">
        <v>630</v>
      </c>
      <c r="F522" s="342"/>
      <c r="G522" s="342">
        <v>0</v>
      </c>
      <c r="H522" s="287" t="s">
        <v>276</v>
      </c>
      <c r="I522" s="287" t="s">
        <v>915</v>
      </c>
      <c r="J522" s="288"/>
      <c r="K522" s="40"/>
      <c r="O522" s="351">
        <v>5.37</v>
      </c>
      <c r="P522" s="267">
        <f t="shared" si="16"/>
        <v>0</v>
      </c>
      <c r="W522"/>
      <c r="X522"/>
    </row>
    <row r="523" spans="1:24" ht="15.75" customHeight="1" thickBot="1" x14ac:dyDescent="0.3">
      <c r="A523" s="573"/>
      <c r="B523" s="574"/>
      <c r="C523" s="532"/>
      <c r="D523" s="269" t="s">
        <v>215</v>
      </c>
      <c r="E523" s="285" t="s">
        <v>498</v>
      </c>
      <c r="F523" s="359">
        <f>F522*20</f>
        <v>0</v>
      </c>
      <c r="G523" s="359">
        <v>0</v>
      </c>
      <c r="H523" s="289" t="s">
        <v>276</v>
      </c>
      <c r="I523" s="289"/>
      <c r="J523" s="290"/>
      <c r="K523" s="40"/>
      <c r="O523" s="351"/>
      <c r="P523" s="267">
        <f t="shared" si="16"/>
        <v>0</v>
      </c>
      <c r="W523"/>
      <c r="X523"/>
    </row>
    <row r="524" spans="1:24" ht="15.75" customHeight="1" x14ac:dyDescent="0.25">
      <c r="A524" s="573"/>
      <c r="B524" s="574"/>
      <c r="C524" s="529" t="s">
        <v>1189</v>
      </c>
      <c r="D524" s="281" t="s">
        <v>207</v>
      </c>
      <c r="E524" s="86" t="s">
        <v>1163</v>
      </c>
      <c r="F524" s="342"/>
      <c r="G524" s="342">
        <v>0</v>
      </c>
      <c r="H524" s="287" t="s">
        <v>276</v>
      </c>
      <c r="I524" s="287" t="s">
        <v>915</v>
      </c>
      <c r="J524" s="288"/>
      <c r="K524" s="40"/>
      <c r="O524" s="351">
        <v>2.0299999999999998</v>
      </c>
      <c r="P524" s="267">
        <f t="shared" si="16"/>
        <v>0</v>
      </c>
      <c r="W524"/>
      <c r="X524"/>
    </row>
    <row r="525" spans="1:24" ht="15.75" customHeight="1" thickBot="1" x14ac:dyDescent="0.3">
      <c r="A525" s="573"/>
      <c r="B525" s="574"/>
      <c r="C525" s="532"/>
      <c r="D525" s="269" t="s">
        <v>215</v>
      </c>
      <c r="E525" s="289" t="s">
        <v>498</v>
      </c>
      <c r="F525" s="359">
        <f>F524*10</f>
        <v>0</v>
      </c>
      <c r="G525" s="359">
        <v>0</v>
      </c>
      <c r="H525" s="289" t="s">
        <v>276</v>
      </c>
      <c r="I525" s="289"/>
      <c r="J525" s="290"/>
      <c r="K525" s="40"/>
      <c r="O525" s="351"/>
      <c r="P525" s="267">
        <f t="shared" si="16"/>
        <v>0</v>
      </c>
      <c r="W525"/>
      <c r="X525"/>
    </row>
    <row r="526" spans="1:24" ht="15.75" customHeight="1" x14ac:dyDescent="0.25">
      <c r="A526" s="573"/>
      <c r="B526" s="574"/>
      <c r="C526" s="529" t="s">
        <v>833</v>
      </c>
      <c r="D526" s="310" t="s">
        <v>205</v>
      </c>
      <c r="E526" s="287" t="s">
        <v>1193</v>
      </c>
      <c r="F526" s="342"/>
      <c r="G526" s="342">
        <v>0</v>
      </c>
      <c r="H526" s="287" t="s">
        <v>171</v>
      </c>
      <c r="I526" s="282" t="s">
        <v>916</v>
      </c>
      <c r="J526" s="288"/>
      <c r="K526" s="40"/>
      <c r="O526" s="351"/>
      <c r="P526" s="267">
        <f t="shared" si="16"/>
        <v>0</v>
      </c>
      <c r="W526"/>
      <c r="X526"/>
    </row>
    <row r="527" spans="1:24" ht="15.75" customHeight="1" thickBot="1" x14ac:dyDescent="0.3">
      <c r="A527" s="575"/>
      <c r="B527" s="576"/>
      <c r="C527" s="532"/>
      <c r="D527" s="283" t="s">
        <v>215</v>
      </c>
      <c r="E527" s="308" t="s">
        <v>660</v>
      </c>
      <c r="F527" s="353">
        <f>F526*66</f>
        <v>0</v>
      </c>
      <c r="G527" s="353">
        <v>0</v>
      </c>
      <c r="H527" s="285"/>
      <c r="I527" s="292" t="s">
        <v>917</v>
      </c>
      <c r="J527" s="286"/>
      <c r="K527" s="40"/>
      <c r="O527" s="351"/>
      <c r="P527" s="267">
        <f t="shared" si="16"/>
        <v>0</v>
      </c>
      <c r="W527"/>
      <c r="X527"/>
    </row>
    <row r="528" spans="1:24" ht="15.75" customHeight="1" x14ac:dyDescent="0.25">
      <c r="A528" s="559" t="s">
        <v>677</v>
      </c>
      <c r="B528" s="585"/>
      <c r="C528" s="521" t="s">
        <v>677</v>
      </c>
      <c r="D528" s="276" t="s">
        <v>215</v>
      </c>
      <c r="E528" s="282" t="s">
        <v>918</v>
      </c>
      <c r="F528" s="435">
        <v>1</v>
      </c>
      <c r="G528" s="435">
        <v>0</v>
      </c>
      <c r="H528" s="287" t="s">
        <v>276</v>
      </c>
      <c r="I528" s="287" t="s">
        <v>919</v>
      </c>
      <c r="J528" s="288"/>
      <c r="K528" s="40"/>
      <c r="O528" s="351"/>
      <c r="P528" s="267"/>
      <c r="W528"/>
      <c r="X528"/>
    </row>
    <row r="529" spans="1:24" ht="15.75" customHeight="1" x14ac:dyDescent="0.25">
      <c r="A529" s="612"/>
      <c r="B529" s="587"/>
      <c r="C529" s="633"/>
      <c r="D529" s="105" t="s">
        <v>215</v>
      </c>
      <c r="E529" s="122" t="s">
        <v>920</v>
      </c>
      <c r="F529" s="190">
        <v>20</v>
      </c>
      <c r="G529" s="190">
        <v>0</v>
      </c>
      <c r="H529" s="56" t="s">
        <v>171</v>
      </c>
      <c r="I529" s="56" t="s">
        <v>921</v>
      </c>
      <c r="J529" s="57"/>
      <c r="K529" s="40"/>
      <c r="O529" s="351"/>
      <c r="P529" s="267">
        <f>O529*F529</f>
        <v>0</v>
      </c>
      <c r="W529"/>
      <c r="X529"/>
    </row>
    <row r="530" spans="1:24" ht="15.75" customHeight="1" x14ac:dyDescent="0.25">
      <c r="A530" s="612"/>
      <c r="B530" s="587"/>
      <c r="C530" s="633"/>
      <c r="D530" s="105" t="s">
        <v>215</v>
      </c>
      <c r="E530" s="122" t="s">
        <v>922</v>
      </c>
      <c r="F530" s="190">
        <v>10</v>
      </c>
      <c r="G530" s="190">
        <v>0</v>
      </c>
      <c r="H530" s="56" t="s">
        <v>276</v>
      </c>
      <c r="I530" s="56" t="s">
        <v>921</v>
      </c>
      <c r="J530" s="57"/>
      <c r="K530" s="40"/>
      <c r="L530" s="40"/>
      <c r="M530" s="40"/>
      <c r="N530" s="40"/>
      <c r="O530" s="351"/>
      <c r="P530" s="267"/>
      <c r="Q530" s="40"/>
      <c r="R530" s="40"/>
      <c r="S530" s="40"/>
      <c r="T530" s="40"/>
      <c r="U530" s="40"/>
      <c r="V530" s="40"/>
      <c r="W530"/>
      <c r="X530"/>
    </row>
    <row r="531" spans="1:24" ht="15.75" customHeight="1" x14ac:dyDescent="0.25">
      <c r="A531" s="612"/>
      <c r="B531" s="587"/>
      <c r="C531" s="633"/>
      <c r="D531" s="105" t="s">
        <v>215</v>
      </c>
      <c r="E531" s="122" t="s">
        <v>923</v>
      </c>
      <c r="F531" s="190">
        <v>3</v>
      </c>
      <c r="G531" s="190">
        <v>0</v>
      </c>
      <c r="H531" s="56" t="s">
        <v>276</v>
      </c>
      <c r="I531" s="56" t="s">
        <v>921</v>
      </c>
      <c r="J531" s="57"/>
      <c r="K531" s="40"/>
      <c r="L531" s="40"/>
      <c r="M531" s="40"/>
      <c r="N531" s="40"/>
      <c r="O531" s="351"/>
      <c r="P531" s="267"/>
      <c r="Q531" s="40"/>
      <c r="R531" s="40"/>
      <c r="S531" s="40"/>
      <c r="T531" s="40"/>
      <c r="U531" s="40"/>
      <c r="V531" s="40"/>
      <c r="W531"/>
      <c r="X531"/>
    </row>
    <row r="532" spans="1:24" ht="15.75" customHeight="1" x14ac:dyDescent="0.25">
      <c r="A532" s="612"/>
      <c r="B532" s="587"/>
      <c r="C532" s="633"/>
      <c r="D532" s="269" t="s">
        <v>215</v>
      </c>
      <c r="E532" s="122" t="s">
        <v>924</v>
      </c>
      <c r="F532" s="190">
        <v>5</v>
      </c>
      <c r="G532" s="190">
        <v>0</v>
      </c>
      <c r="H532" s="56" t="s">
        <v>276</v>
      </c>
      <c r="I532" s="289" t="s">
        <v>921</v>
      </c>
      <c r="J532" s="57"/>
      <c r="K532" s="40"/>
      <c r="L532" s="40"/>
      <c r="M532" s="40"/>
      <c r="N532" s="40"/>
      <c r="O532" s="351"/>
      <c r="P532" s="267"/>
      <c r="Q532" s="40"/>
      <c r="R532" s="40"/>
      <c r="S532" s="40"/>
      <c r="T532" s="40"/>
      <c r="U532" s="40"/>
      <c r="V532" s="40"/>
      <c r="W532"/>
      <c r="X532"/>
    </row>
    <row r="533" spans="1:24" ht="15.75" customHeight="1" x14ac:dyDescent="0.25">
      <c r="A533" s="612"/>
      <c r="B533" s="587"/>
      <c r="C533" s="633"/>
      <c r="D533" s="269" t="s">
        <v>215</v>
      </c>
      <c r="E533" s="436" t="s">
        <v>742</v>
      </c>
      <c r="F533" s="344">
        <v>500</v>
      </c>
      <c r="G533" s="190">
        <v>0</v>
      </c>
      <c r="H533" s="289" t="s">
        <v>171</v>
      </c>
      <c r="I533" s="289" t="s">
        <v>921</v>
      </c>
      <c r="J533" s="290"/>
      <c r="K533" s="40"/>
      <c r="O533" s="351"/>
      <c r="P533" s="267">
        <f>O533*F533</f>
        <v>0</v>
      </c>
      <c r="W533"/>
      <c r="X533"/>
    </row>
    <row r="534" spans="1:24" ht="15.75" customHeight="1" x14ac:dyDescent="0.25">
      <c r="A534" s="612"/>
      <c r="B534" s="587"/>
      <c r="C534" s="633"/>
      <c r="D534" s="269" t="s">
        <v>215</v>
      </c>
      <c r="E534" s="311" t="s">
        <v>925</v>
      </c>
      <c r="F534" s="344">
        <v>10</v>
      </c>
      <c r="G534" s="190">
        <v>0</v>
      </c>
      <c r="H534" s="289" t="s">
        <v>926</v>
      </c>
      <c r="I534" s="289" t="s">
        <v>921</v>
      </c>
      <c r="J534" s="290"/>
      <c r="K534" s="40"/>
      <c r="O534" s="351"/>
      <c r="P534" s="267">
        <f>O534*F534</f>
        <v>0</v>
      </c>
      <c r="W534"/>
      <c r="X534"/>
    </row>
    <row r="535" spans="1:24" ht="15.75" customHeight="1" x14ac:dyDescent="0.25">
      <c r="A535" s="612"/>
      <c r="B535" s="587"/>
      <c r="C535" s="633"/>
      <c r="D535" s="269" t="s">
        <v>215</v>
      </c>
      <c r="E535" s="311" t="s">
        <v>927</v>
      </c>
      <c r="F535" s="344">
        <v>2</v>
      </c>
      <c r="G535" s="190">
        <v>0</v>
      </c>
      <c r="H535" s="289" t="s">
        <v>928</v>
      </c>
      <c r="I535" s="289" t="s">
        <v>921</v>
      </c>
      <c r="J535" s="290"/>
      <c r="K535" s="40"/>
      <c r="O535" s="351"/>
      <c r="P535" s="267">
        <f>O535*F535</f>
        <v>0</v>
      </c>
      <c r="W535"/>
      <c r="X535"/>
    </row>
    <row r="536" spans="1:24" ht="15.75" customHeight="1" x14ac:dyDescent="0.25">
      <c r="A536" s="612"/>
      <c r="B536" s="587"/>
      <c r="C536" s="633"/>
      <c r="D536" s="269" t="s">
        <v>215</v>
      </c>
      <c r="E536" s="289" t="s">
        <v>935</v>
      </c>
      <c r="F536" s="344">
        <v>5</v>
      </c>
      <c r="G536" s="190">
        <v>0</v>
      </c>
      <c r="H536" s="289" t="s">
        <v>936</v>
      </c>
      <c r="I536" s="289" t="s">
        <v>921</v>
      </c>
      <c r="J536" s="290"/>
      <c r="K536" s="40"/>
      <c r="O536" s="351"/>
      <c r="P536" s="267">
        <f>O536*F538</f>
        <v>0</v>
      </c>
      <c r="W536"/>
      <c r="X536"/>
    </row>
    <row r="537" spans="1:24" ht="15.75" customHeight="1" x14ac:dyDescent="0.25">
      <c r="A537" s="612"/>
      <c r="B537" s="587"/>
      <c r="C537" s="633"/>
      <c r="D537" s="269" t="s">
        <v>215</v>
      </c>
      <c r="E537" s="311" t="s">
        <v>504</v>
      </c>
      <c r="F537" s="344">
        <v>3000</v>
      </c>
      <c r="G537" s="190">
        <v>0</v>
      </c>
      <c r="H537" s="289" t="s">
        <v>276</v>
      </c>
      <c r="I537" s="289" t="s">
        <v>921</v>
      </c>
      <c r="J537" s="290"/>
      <c r="K537" s="40"/>
      <c r="O537" s="351"/>
      <c r="P537" s="267">
        <f>O537*F539</f>
        <v>0</v>
      </c>
      <c r="W537"/>
      <c r="X537"/>
    </row>
    <row r="538" spans="1:24" ht="15.75" customHeight="1" x14ac:dyDescent="0.25">
      <c r="A538" s="612"/>
      <c r="B538" s="587"/>
      <c r="C538" s="633"/>
      <c r="D538" s="268" t="s">
        <v>213</v>
      </c>
      <c r="E538" s="289" t="s">
        <v>929</v>
      </c>
      <c r="F538" s="344">
        <v>1</v>
      </c>
      <c r="G538" s="190">
        <v>0</v>
      </c>
      <c r="H538" s="289" t="s">
        <v>336</v>
      </c>
      <c r="I538" s="289" t="s">
        <v>930</v>
      </c>
      <c r="J538" s="290"/>
      <c r="K538" s="40"/>
      <c r="O538" s="351"/>
      <c r="P538" s="267">
        <f>O538*F543</f>
        <v>0</v>
      </c>
      <c r="W538"/>
      <c r="X538"/>
    </row>
    <row r="539" spans="1:24" x14ac:dyDescent="0.25">
      <c r="A539" s="612"/>
      <c r="B539" s="587"/>
      <c r="C539" s="633"/>
      <c r="D539" s="273" t="s">
        <v>221</v>
      </c>
      <c r="E539" s="289" t="s">
        <v>725</v>
      </c>
      <c r="F539" s="344">
        <v>1</v>
      </c>
      <c r="G539" s="190">
        <v>0</v>
      </c>
      <c r="H539" s="289" t="s">
        <v>931</v>
      </c>
      <c r="I539" s="289" t="s">
        <v>921</v>
      </c>
      <c r="J539" s="290"/>
      <c r="K539" s="40"/>
      <c r="L539" s="40"/>
      <c r="M539" s="40"/>
      <c r="N539" s="40"/>
      <c r="O539" s="351"/>
      <c r="P539" s="267">
        <f>O539*F540</f>
        <v>0</v>
      </c>
      <c r="Q539" s="40"/>
      <c r="R539" s="40"/>
      <c r="S539" s="40"/>
      <c r="T539" s="40"/>
      <c r="U539" s="40"/>
      <c r="V539" s="40"/>
      <c r="W539"/>
      <c r="X539"/>
    </row>
    <row r="540" spans="1:24" ht="15.75" customHeight="1" x14ac:dyDescent="0.25">
      <c r="A540" s="612"/>
      <c r="B540" s="587"/>
      <c r="C540" s="633"/>
      <c r="D540" s="192" t="s">
        <v>290</v>
      </c>
      <c r="E540" s="436" t="s">
        <v>933</v>
      </c>
      <c r="F540" s="437">
        <v>2</v>
      </c>
      <c r="G540" s="190">
        <v>0</v>
      </c>
      <c r="H540" s="436" t="s">
        <v>276</v>
      </c>
      <c r="I540" s="438" t="s">
        <v>934</v>
      </c>
      <c r="J540" s="290"/>
      <c r="K540" s="40"/>
      <c r="O540" s="351"/>
      <c r="P540" s="267">
        <f>O540*F536</f>
        <v>0</v>
      </c>
      <c r="W540"/>
      <c r="X540"/>
    </row>
    <row r="541" spans="1:24" ht="15.75" customHeight="1" x14ac:dyDescent="0.25">
      <c r="A541" s="612"/>
      <c r="B541" s="587"/>
      <c r="C541" s="633"/>
      <c r="D541" s="266" t="s">
        <v>207</v>
      </c>
      <c r="E541" s="311" t="s">
        <v>937</v>
      </c>
      <c r="F541" s="344">
        <v>25</v>
      </c>
      <c r="G541" s="190">
        <v>0</v>
      </c>
      <c r="H541" s="289" t="s">
        <v>276</v>
      </c>
      <c r="I541" s="289" t="s">
        <v>921</v>
      </c>
      <c r="J541" s="290"/>
      <c r="K541" s="40"/>
      <c r="O541" s="351"/>
      <c r="P541" s="267">
        <f>O541*F541</f>
        <v>0</v>
      </c>
      <c r="W541"/>
      <c r="X541"/>
    </row>
    <row r="542" spans="1:24" ht="15.75" customHeight="1" x14ac:dyDescent="0.25">
      <c r="A542" s="612"/>
      <c r="B542" s="587"/>
      <c r="C542" s="633"/>
      <c r="D542" s="266" t="s">
        <v>207</v>
      </c>
      <c r="E542" s="311" t="s">
        <v>938</v>
      </c>
      <c r="F542" s="344">
        <v>20</v>
      </c>
      <c r="G542" s="190">
        <v>0</v>
      </c>
      <c r="H542" s="289" t="s">
        <v>276</v>
      </c>
      <c r="I542" s="289" t="s">
        <v>921</v>
      </c>
      <c r="J542" s="290"/>
      <c r="K542" s="40"/>
      <c r="O542" s="351"/>
      <c r="P542" s="267">
        <f>O542*F542</f>
        <v>0</v>
      </c>
      <c r="W542"/>
      <c r="X542"/>
    </row>
    <row r="543" spans="1:24" ht="15.75" customHeight="1" x14ac:dyDescent="0.25">
      <c r="A543" s="612"/>
      <c r="B543" s="587"/>
      <c r="C543" s="633"/>
      <c r="D543" s="267" t="s">
        <v>211</v>
      </c>
      <c r="E543" s="289" t="s">
        <v>932</v>
      </c>
      <c r="F543" s="344">
        <v>2</v>
      </c>
      <c r="G543" s="190">
        <v>0</v>
      </c>
      <c r="H543" s="289" t="s">
        <v>171</v>
      </c>
      <c r="I543" s="289" t="s">
        <v>921</v>
      </c>
      <c r="J543" s="290"/>
      <c r="K543" s="40"/>
      <c r="O543" s="351"/>
      <c r="P543" s="267">
        <f>O543*F537</f>
        <v>0</v>
      </c>
      <c r="W543"/>
      <c r="X543"/>
    </row>
    <row r="544" spans="1:24" ht="15.75" customHeight="1" x14ac:dyDescent="0.25">
      <c r="A544" s="612"/>
      <c r="B544" s="587"/>
      <c r="C544" s="633"/>
      <c r="D544" s="267" t="s">
        <v>211</v>
      </c>
      <c r="E544" s="289" t="s">
        <v>939</v>
      </c>
      <c r="F544" s="344">
        <v>2</v>
      </c>
      <c r="G544" s="190">
        <v>0</v>
      </c>
      <c r="H544" s="289" t="s">
        <v>276</v>
      </c>
      <c r="I544" s="289"/>
      <c r="J544" s="290"/>
      <c r="K544" s="40"/>
      <c r="O544" s="351"/>
      <c r="P544" s="267">
        <f t="shared" ref="P544:P568" si="17">O544*F544</f>
        <v>0</v>
      </c>
      <c r="W544"/>
      <c r="X544"/>
    </row>
    <row r="545" spans="1:25" ht="15.75" customHeight="1" thickBot="1" x14ac:dyDescent="0.3">
      <c r="A545" s="612"/>
      <c r="B545" s="587"/>
      <c r="C545" s="633"/>
      <c r="D545" s="439" t="s">
        <v>211</v>
      </c>
      <c r="E545" s="60" t="s">
        <v>940</v>
      </c>
      <c r="F545" s="90">
        <v>2</v>
      </c>
      <c r="G545" s="440">
        <v>0</v>
      </c>
      <c r="H545" s="60" t="s">
        <v>276</v>
      </c>
      <c r="I545" s="75"/>
      <c r="J545" s="73"/>
      <c r="K545" s="40"/>
      <c r="O545" s="351"/>
      <c r="P545" s="267">
        <f t="shared" si="17"/>
        <v>0</v>
      </c>
      <c r="W545"/>
      <c r="X545"/>
    </row>
    <row r="546" spans="1:25" ht="15.75" customHeight="1" thickBot="1" x14ac:dyDescent="0.3">
      <c r="A546" s="612"/>
      <c r="B546" s="587"/>
      <c r="C546" s="441">
        <v>0</v>
      </c>
      <c r="D546" s="139" t="s">
        <v>207</v>
      </c>
      <c r="E546" s="282" t="s">
        <v>551</v>
      </c>
      <c r="F546" s="442">
        <f>C546/8</f>
        <v>0</v>
      </c>
      <c r="G546" s="442">
        <v>0</v>
      </c>
      <c r="H546" s="287" t="s">
        <v>171</v>
      </c>
      <c r="I546" s="287" t="s">
        <v>941</v>
      </c>
      <c r="J546" s="288" t="s">
        <v>942</v>
      </c>
      <c r="K546" s="40"/>
      <c r="O546" s="351">
        <v>6.07</v>
      </c>
      <c r="P546" s="267">
        <f t="shared" si="17"/>
        <v>0</v>
      </c>
      <c r="W546"/>
      <c r="X546"/>
    </row>
    <row r="547" spans="1:25" ht="15.75" customHeight="1" x14ac:dyDescent="0.25">
      <c r="A547" s="612"/>
      <c r="B547" s="587"/>
      <c r="C547" s="555" t="s">
        <v>943</v>
      </c>
      <c r="D547" s="266" t="s">
        <v>207</v>
      </c>
      <c r="E547" s="86" t="s">
        <v>514</v>
      </c>
      <c r="F547" s="359">
        <f>C546/8*3</f>
        <v>0</v>
      </c>
      <c r="G547" s="359">
        <v>0</v>
      </c>
      <c r="H547" s="289" t="s">
        <v>171</v>
      </c>
      <c r="I547" s="289" t="s">
        <v>944</v>
      </c>
      <c r="J547" s="290" t="s">
        <v>945</v>
      </c>
      <c r="K547" s="40"/>
      <c r="O547" s="351">
        <v>2.0299999999999998</v>
      </c>
      <c r="P547" s="267">
        <f t="shared" si="17"/>
        <v>0</v>
      </c>
      <c r="W547"/>
      <c r="X547"/>
    </row>
    <row r="548" spans="1:25" ht="15.75" customHeight="1" x14ac:dyDescent="0.25">
      <c r="A548" s="612"/>
      <c r="B548" s="587"/>
      <c r="C548" s="533"/>
      <c r="D548" s="266" t="s">
        <v>207</v>
      </c>
      <c r="E548" s="95" t="s">
        <v>630</v>
      </c>
      <c r="F548" s="359">
        <f>C546/8*1</f>
        <v>0</v>
      </c>
      <c r="G548" s="359">
        <v>0</v>
      </c>
      <c r="H548" s="289" t="s">
        <v>171</v>
      </c>
      <c r="I548" s="289" t="s">
        <v>946</v>
      </c>
      <c r="J548" s="290" t="s">
        <v>945</v>
      </c>
      <c r="K548" s="40"/>
      <c r="O548" s="351">
        <v>5.37</v>
      </c>
      <c r="P548" s="267">
        <f t="shared" si="17"/>
        <v>0</v>
      </c>
      <c r="W548"/>
      <c r="X548"/>
    </row>
    <row r="549" spans="1:25" ht="15.75" customHeight="1" x14ac:dyDescent="0.25">
      <c r="A549" s="612"/>
      <c r="B549" s="587"/>
      <c r="C549" s="533"/>
      <c r="D549" s="265" t="s">
        <v>205</v>
      </c>
      <c r="E549" s="311" t="s">
        <v>645</v>
      </c>
      <c r="F549" s="359">
        <f>C546/8</f>
        <v>0</v>
      </c>
      <c r="G549" s="359">
        <v>0</v>
      </c>
      <c r="H549" s="289" t="s">
        <v>394</v>
      </c>
      <c r="I549" s="289" t="s">
        <v>947</v>
      </c>
      <c r="J549" s="290" t="s">
        <v>948</v>
      </c>
      <c r="K549" s="40"/>
      <c r="O549" s="351">
        <v>18</v>
      </c>
      <c r="P549" s="267">
        <f t="shared" si="17"/>
        <v>0</v>
      </c>
      <c r="W549"/>
      <c r="X549"/>
    </row>
    <row r="550" spans="1:25" ht="15.75" customHeight="1" x14ac:dyDescent="0.25">
      <c r="A550" s="612"/>
      <c r="B550" s="587"/>
      <c r="C550" s="533"/>
      <c r="D550" s="132" t="s">
        <v>290</v>
      </c>
      <c r="E550" s="289" t="s">
        <v>542</v>
      </c>
      <c r="F550" s="344">
        <v>2</v>
      </c>
      <c r="G550" s="344">
        <v>0</v>
      </c>
      <c r="H550" s="280" t="s">
        <v>543</v>
      </c>
      <c r="I550" s="289" t="s">
        <v>949</v>
      </c>
      <c r="J550" s="290" t="s">
        <v>950</v>
      </c>
      <c r="K550" s="40"/>
      <c r="O550" s="351"/>
      <c r="P550" s="267">
        <f t="shared" si="17"/>
        <v>0</v>
      </c>
      <c r="W550"/>
      <c r="X550"/>
    </row>
    <row r="551" spans="1:25" ht="15.75" customHeight="1" thickBot="1" x14ac:dyDescent="0.3">
      <c r="A551" s="612"/>
      <c r="B551" s="587"/>
      <c r="C551" s="533"/>
      <c r="D551" s="110" t="s">
        <v>421</v>
      </c>
      <c r="E551" s="295" t="s">
        <v>443</v>
      </c>
      <c r="F551" s="359">
        <f>F546*20</f>
        <v>0</v>
      </c>
      <c r="G551" s="359">
        <v>0</v>
      </c>
      <c r="H551" s="289" t="s">
        <v>171</v>
      </c>
      <c r="I551" s="289" t="s">
        <v>951</v>
      </c>
      <c r="J551" s="290"/>
      <c r="K551" s="40"/>
      <c r="O551" s="351"/>
      <c r="P551" s="267">
        <f t="shared" si="17"/>
        <v>0</v>
      </c>
      <c r="W551"/>
      <c r="X551"/>
    </row>
    <row r="552" spans="1:25" ht="15.75" customHeight="1" thickBot="1" x14ac:dyDescent="0.3">
      <c r="A552" s="612"/>
      <c r="B552" s="587"/>
      <c r="C552" s="533"/>
      <c r="D552" s="269" t="s">
        <v>215</v>
      </c>
      <c r="E552" s="311" t="s">
        <v>339</v>
      </c>
      <c r="F552" s="359">
        <f>F547*10</f>
        <v>0</v>
      </c>
      <c r="G552" s="359">
        <v>0</v>
      </c>
      <c r="H552" s="289" t="s">
        <v>171</v>
      </c>
      <c r="I552" s="289" t="s">
        <v>952</v>
      </c>
      <c r="J552" s="290"/>
      <c r="K552" s="40"/>
      <c r="O552" s="351"/>
      <c r="P552" s="267">
        <f t="shared" si="17"/>
        <v>0</v>
      </c>
      <c r="W552"/>
      <c r="X552"/>
      <c r="Y552" s="64"/>
    </row>
    <row r="553" spans="1:25" ht="15.75" customHeight="1" x14ac:dyDescent="0.25">
      <c r="A553" s="612"/>
      <c r="B553" s="587"/>
      <c r="C553" s="533"/>
      <c r="D553" s="267" t="s">
        <v>211</v>
      </c>
      <c r="E553" s="289" t="s">
        <v>476</v>
      </c>
      <c r="F553" s="360">
        <f>C546/3*2.7</f>
        <v>0</v>
      </c>
      <c r="G553" s="360">
        <v>0</v>
      </c>
      <c r="H553" s="289" t="s">
        <v>477</v>
      </c>
      <c r="I553" s="289" t="s">
        <v>953</v>
      </c>
      <c r="J553" s="290" t="s">
        <v>954</v>
      </c>
      <c r="K553" s="40"/>
      <c r="O553" s="351"/>
      <c r="P553" s="267">
        <f t="shared" si="17"/>
        <v>0</v>
      </c>
      <c r="W553"/>
      <c r="X553"/>
      <c r="Y553" s="445"/>
    </row>
    <row r="554" spans="1:25" ht="15.75" customHeight="1" x14ac:dyDescent="0.25">
      <c r="A554" s="612"/>
      <c r="B554" s="587"/>
      <c r="C554" s="533"/>
      <c r="D554" s="267" t="s">
        <v>211</v>
      </c>
      <c r="E554" s="295" t="s">
        <v>479</v>
      </c>
      <c r="F554" s="360">
        <f>C546/3*2.7</f>
        <v>0</v>
      </c>
      <c r="G554" s="360">
        <v>0</v>
      </c>
      <c r="H554" s="289" t="s">
        <v>477</v>
      </c>
      <c r="I554" s="289" t="s">
        <v>953</v>
      </c>
      <c r="J554" s="290" t="s">
        <v>954</v>
      </c>
      <c r="K554" s="40"/>
      <c r="O554" s="351"/>
      <c r="P554" s="267">
        <f t="shared" si="17"/>
        <v>0</v>
      </c>
      <c r="W554"/>
      <c r="X554"/>
      <c r="Y554" s="445"/>
    </row>
    <row r="555" spans="1:25" ht="15.75" customHeight="1" x14ac:dyDescent="0.25">
      <c r="A555" s="612"/>
      <c r="B555" s="587"/>
      <c r="C555" s="533"/>
      <c r="D555" s="266" t="s">
        <v>207</v>
      </c>
      <c r="E555" s="289" t="s">
        <v>955</v>
      </c>
      <c r="F555" s="359">
        <f>C546*2</f>
        <v>0</v>
      </c>
      <c r="G555" s="359">
        <v>0</v>
      </c>
      <c r="H555" s="289" t="s">
        <v>171</v>
      </c>
      <c r="I555" s="289" t="s">
        <v>956</v>
      </c>
      <c r="J555" s="290" t="s">
        <v>957</v>
      </c>
      <c r="K555" s="40"/>
      <c r="O555" s="351">
        <v>7.49</v>
      </c>
      <c r="P555" s="267">
        <f t="shared" si="17"/>
        <v>0</v>
      </c>
      <c r="W555"/>
      <c r="X555"/>
      <c r="Y555" s="445"/>
    </row>
    <row r="556" spans="1:25" ht="15.75" customHeight="1" x14ac:dyDescent="0.25">
      <c r="A556" s="612"/>
      <c r="B556" s="587"/>
      <c r="C556" s="533"/>
      <c r="D556" s="269" t="s">
        <v>215</v>
      </c>
      <c r="E556" s="295" t="s">
        <v>627</v>
      </c>
      <c r="F556" s="359">
        <f>F555*4</f>
        <v>0</v>
      </c>
      <c r="G556" s="359">
        <v>0</v>
      </c>
      <c r="H556" s="289" t="s">
        <v>171</v>
      </c>
      <c r="I556" s="289" t="s">
        <v>958</v>
      </c>
      <c r="J556" s="290"/>
      <c r="K556" s="40"/>
      <c r="O556" s="351"/>
      <c r="P556" s="267">
        <f t="shared" si="17"/>
        <v>0</v>
      </c>
      <c r="W556"/>
      <c r="X556"/>
      <c r="Y556" s="69"/>
    </row>
    <row r="557" spans="1:25" ht="15.75" customHeight="1" x14ac:dyDescent="0.25">
      <c r="A557" s="612"/>
      <c r="B557" s="587"/>
      <c r="C557" s="533"/>
      <c r="D557" s="269" t="s">
        <v>215</v>
      </c>
      <c r="E557" s="311" t="s">
        <v>959</v>
      </c>
      <c r="F557" s="359">
        <f>C546*3</f>
        <v>0</v>
      </c>
      <c r="G557" s="359">
        <v>0</v>
      </c>
      <c r="H557" s="289" t="s">
        <v>276</v>
      </c>
      <c r="I557" s="289" t="s">
        <v>960</v>
      </c>
      <c r="J557" s="290" t="s">
        <v>961</v>
      </c>
      <c r="K557" s="40"/>
      <c r="O557" s="351"/>
      <c r="P557" s="267">
        <f t="shared" si="17"/>
        <v>0</v>
      </c>
      <c r="W557"/>
      <c r="X557"/>
      <c r="Y557" s="69"/>
    </row>
    <row r="558" spans="1:25" ht="90" x14ac:dyDescent="0.25">
      <c r="A558" s="612"/>
      <c r="B558" s="587"/>
      <c r="C558" s="533"/>
      <c r="D558" s="265" t="s">
        <v>205</v>
      </c>
      <c r="E558" s="311" t="s">
        <v>645</v>
      </c>
      <c r="F558" s="344">
        <v>0</v>
      </c>
      <c r="G558" s="344">
        <v>0</v>
      </c>
      <c r="H558" s="289" t="s">
        <v>394</v>
      </c>
      <c r="I558" s="438" t="s">
        <v>962</v>
      </c>
      <c r="J558" s="193" t="s">
        <v>963</v>
      </c>
      <c r="K558" s="40"/>
      <c r="O558" s="351">
        <v>9</v>
      </c>
      <c r="P558" s="267">
        <f t="shared" si="17"/>
        <v>0</v>
      </c>
      <c r="W558"/>
      <c r="X558"/>
      <c r="Y558" s="69"/>
    </row>
    <row r="559" spans="1:25" ht="15.75" customHeight="1" thickBot="1" x14ac:dyDescent="0.3">
      <c r="A559" s="613"/>
      <c r="B559" s="589"/>
      <c r="C559" s="532"/>
      <c r="D559" s="283" t="s">
        <v>215</v>
      </c>
      <c r="E559" s="308" t="s">
        <v>516</v>
      </c>
      <c r="F559" s="353">
        <f>(F549+F558)*100</f>
        <v>0</v>
      </c>
      <c r="G559" s="353">
        <v>0</v>
      </c>
      <c r="H559" s="285" t="s">
        <v>276</v>
      </c>
      <c r="I559" s="285" t="s">
        <v>964</v>
      </c>
      <c r="J559" s="286"/>
      <c r="K559" s="40"/>
      <c r="O559" s="351"/>
      <c r="P559" s="267">
        <f t="shared" si="17"/>
        <v>0</v>
      </c>
      <c r="W559"/>
      <c r="X559"/>
      <c r="Y559" s="445"/>
    </row>
    <row r="560" spans="1:25" ht="15.75" customHeight="1" x14ac:dyDescent="0.25">
      <c r="A560" s="558" t="s">
        <v>971</v>
      </c>
      <c r="B560" s="572"/>
      <c r="C560" s="529" t="s">
        <v>965</v>
      </c>
      <c r="D560" s="310" t="s">
        <v>205</v>
      </c>
      <c r="E560" s="287" t="s">
        <v>966</v>
      </c>
      <c r="F560" s="342"/>
      <c r="G560" s="342">
        <v>0</v>
      </c>
      <c r="H560" s="287" t="s">
        <v>394</v>
      </c>
      <c r="I560" s="287" t="s">
        <v>967</v>
      </c>
      <c r="J560" s="288"/>
      <c r="K560" s="40"/>
      <c r="O560" s="351">
        <v>7</v>
      </c>
      <c r="P560" s="267">
        <f t="shared" si="17"/>
        <v>0</v>
      </c>
      <c r="W560"/>
      <c r="X560"/>
      <c r="Y560" s="69"/>
    </row>
    <row r="561" spans="1:25" ht="15.75" customHeight="1" x14ac:dyDescent="0.25">
      <c r="A561" s="573"/>
      <c r="B561" s="574"/>
      <c r="C561" s="533"/>
      <c r="D561" s="269" t="s">
        <v>215</v>
      </c>
      <c r="E561" s="311" t="s">
        <v>969</v>
      </c>
      <c r="F561" s="359">
        <f>F560*66</f>
        <v>0</v>
      </c>
      <c r="G561" s="359">
        <v>0</v>
      </c>
      <c r="H561" s="289" t="s">
        <v>276</v>
      </c>
      <c r="I561" s="289"/>
      <c r="J561" s="290"/>
      <c r="K561" s="40"/>
      <c r="O561" s="351"/>
      <c r="P561" s="267">
        <f t="shared" si="17"/>
        <v>0</v>
      </c>
      <c r="W561"/>
      <c r="X561"/>
      <c r="Y561" s="69"/>
    </row>
    <row r="562" spans="1:25" ht="15.75" customHeight="1" x14ac:dyDescent="0.25">
      <c r="A562" s="573"/>
      <c r="B562" s="574"/>
      <c r="C562" s="533"/>
      <c r="D562" s="265" t="s">
        <v>205</v>
      </c>
      <c r="E562" s="295" t="s">
        <v>970</v>
      </c>
      <c r="F562" s="343"/>
      <c r="G562" s="343">
        <v>0</v>
      </c>
      <c r="H562" s="289" t="s">
        <v>394</v>
      </c>
      <c r="I562" s="289" t="s">
        <v>967</v>
      </c>
      <c r="J562" s="290"/>
      <c r="K562" s="40"/>
      <c r="O562" s="351">
        <v>24</v>
      </c>
      <c r="P562" s="267">
        <f t="shared" si="17"/>
        <v>0</v>
      </c>
      <c r="W562"/>
      <c r="X562"/>
      <c r="Y562" s="69"/>
    </row>
    <row r="563" spans="1:25" ht="15.75" customHeight="1" x14ac:dyDescent="0.25">
      <c r="A563" s="573"/>
      <c r="B563" s="574"/>
      <c r="C563" s="533"/>
      <c r="D563" s="265" t="s">
        <v>205</v>
      </c>
      <c r="E563" s="295" t="s">
        <v>972</v>
      </c>
      <c r="F563" s="343"/>
      <c r="G563" s="343">
        <v>0</v>
      </c>
      <c r="H563" s="289" t="s">
        <v>394</v>
      </c>
      <c r="I563" s="289" t="s">
        <v>967</v>
      </c>
      <c r="J563" s="290"/>
      <c r="K563" s="40"/>
      <c r="O563" s="351">
        <v>20.399999999999999</v>
      </c>
      <c r="P563" s="267">
        <f t="shared" si="17"/>
        <v>0</v>
      </c>
      <c r="W563"/>
      <c r="X563"/>
      <c r="Y563" s="445"/>
    </row>
    <row r="564" spans="1:25" ht="15.75" customHeight="1" x14ac:dyDescent="0.25">
      <c r="A564" s="573"/>
      <c r="B564" s="574"/>
      <c r="C564" s="533"/>
      <c r="D564" s="104" t="s">
        <v>215</v>
      </c>
      <c r="E564" s="95" t="s">
        <v>969</v>
      </c>
      <c r="F564" s="96">
        <f>(F562+F563)*66</f>
        <v>0</v>
      </c>
      <c r="G564" s="96">
        <v>0</v>
      </c>
      <c r="H564" s="60" t="s">
        <v>276</v>
      </c>
      <c r="I564" s="60"/>
      <c r="J564" s="73"/>
      <c r="K564" s="40"/>
      <c r="O564" s="351"/>
      <c r="P564" s="267">
        <f t="shared" si="17"/>
        <v>0</v>
      </c>
      <c r="W564"/>
      <c r="X564"/>
      <c r="Y564" s="69"/>
    </row>
    <row r="565" spans="1:25" ht="15.75" customHeight="1" thickBot="1" x14ac:dyDescent="0.3">
      <c r="A565" s="573"/>
      <c r="B565" s="574"/>
      <c r="C565" s="532"/>
      <c r="D565" s="268" t="s">
        <v>213</v>
      </c>
      <c r="E565" s="308" t="s">
        <v>318</v>
      </c>
      <c r="F565" s="357"/>
      <c r="G565" s="357">
        <v>0</v>
      </c>
      <c r="H565" s="285"/>
      <c r="I565" s="292" t="s">
        <v>973</v>
      </c>
      <c r="J565" s="286"/>
      <c r="K565" s="40"/>
      <c r="O565" s="351"/>
      <c r="P565" s="267">
        <f t="shared" si="17"/>
        <v>0</v>
      </c>
      <c r="W565"/>
      <c r="X565"/>
      <c r="Y565" s="69"/>
    </row>
    <row r="566" spans="1:25" ht="15.75" customHeight="1" thickBot="1" x14ac:dyDescent="0.3">
      <c r="A566" s="573"/>
      <c r="B566" s="574"/>
      <c r="C566" s="529" t="s">
        <v>968</v>
      </c>
      <c r="D566" s="310" t="s">
        <v>205</v>
      </c>
      <c r="E566" s="323" t="s">
        <v>974</v>
      </c>
      <c r="F566" s="342"/>
      <c r="G566" s="342">
        <v>0</v>
      </c>
      <c r="H566" s="287" t="s">
        <v>394</v>
      </c>
      <c r="I566" s="287" t="s">
        <v>971</v>
      </c>
      <c r="J566" s="288"/>
      <c r="K566" s="40"/>
      <c r="O566" s="351">
        <v>24</v>
      </c>
      <c r="P566" s="267">
        <f t="shared" si="17"/>
        <v>0</v>
      </c>
      <c r="W566"/>
      <c r="X566"/>
      <c r="Y566" s="77"/>
    </row>
    <row r="567" spans="1:25" ht="15.75" customHeight="1" thickBot="1" x14ac:dyDescent="0.3">
      <c r="A567" s="573"/>
      <c r="B567" s="574"/>
      <c r="C567" s="533"/>
      <c r="D567" s="265" t="s">
        <v>205</v>
      </c>
      <c r="E567" s="311" t="s">
        <v>975</v>
      </c>
      <c r="F567" s="343"/>
      <c r="G567" s="343">
        <v>0</v>
      </c>
      <c r="H567" s="289" t="s">
        <v>394</v>
      </c>
      <c r="I567" s="289" t="s">
        <v>971</v>
      </c>
      <c r="J567" s="290"/>
      <c r="K567" s="40"/>
      <c r="O567" s="351">
        <v>20.399999999999999</v>
      </c>
      <c r="P567" s="267">
        <f t="shared" si="17"/>
        <v>0</v>
      </c>
      <c r="W567"/>
      <c r="X567"/>
      <c r="Y567" s="446"/>
    </row>
    <row r="568" spans="1:25" ht="15.75" customHeight="1" x14ac:dyDescent="0.25">
      <c r="A568" s="573"/>
      <c r="B568" s="574"/>
      <c r="C568" s="533"/>
      <c r="D568" s="265" t="s">
        <v>205</v>
      </c>
      <c r="E568" s="295" t="s">
        <v>976</v>
      </c>
      <c r="F568" s="343"/>
      <c r="G568" s="343">
        <v>0</v>
      </c>
      <c r="H568" s="280" t="s">
        <v>394</v>
      </c>
      <c r="I568" s="280" t="s">
        <v>971</v>
      </c>
      <c r="J568" s="290"/>
      <c r="K568" s="40"/>
      <c r="O568" s="351">
        <v>24</v>
      </c>
      <c r="P568" s="267">
        <f t="shared" si="17"/>
        <v>0</v>
      </c>
      <c r="W568"/>
    </row>
    <row r="569" spans="1:25" ht="15.75" customHeight="1" x14ac:dyDescent="0.25">
      <c r="A569" s="573"/>
      <c r="B569" s="574"/>
      <c r="C569" s="533"/>
      <c r="D569" s="265" t="s">
        <v>205</v>
      </c>
      <c r="E569" s="295" t="s">
        <v>972</v>
      </c>
      <c r="F569" s="343"/>
      <c r="G569" s="343">
        <v>0</v>
      </c>
      <c r="H569" s="280" t="s">
        <v>977</v>
      </c>
      <c r="I569" s="280" t="s">
        <v>971</v>
      </c>
      <c r="J569" s="290"/>
      <c r="K569" s="40"/>
      <c r="L569" s="40"/>
      <c r="M569" s="40"/>
      <c r="N569" s="40"/>
      <c r="O569" s="351"/>
      <c r="P569" s="267"/>
      <c r="Q569" s="40"/>
      <c r="R569" s="40"/>
      <c r="S569" s="40"/>
      <c r="T569" s="40"/>
      <c r="U569" s="40"/>
      <c r="V569" s="40"/>
      <c r="W569"/>
    </row>
    <row r="570" spans="1:25" ht="15.75" customHeight="1" x14ac:dyDescent="0.25">
      <c r="A570" s="573"/>
      <c r="B570" s="574"/>
      <c r="C570" s="533"/>
      <c r="D570" s="265" t="s">
        <v>205</v>
      </c>
      <c r="E570" s="295" t="s">
        <v>978</v>
      </c>
      <c r="F570" s="343"/>
      <c r="G570" s="343">
        <v>0</v>
      </c>
      <c r="H570" s="280" t="s">
        <v>394</v>
      </c>
      <c r="I570" s="280" t="s">
        <v>971</v>
      </c>
      <c r="J570" s="290"/>
      <c r="K570" s="40"/>
      <c r="O570" s="351"/>
      <c r="P570" s="267">
        <f>O570*F570</f>
        <v>0</v>
      </c>
      <c r="W570"/>
    </row>
    <row r="571" spans="1:25" ht="15.75" customHeight="1" x14ac:dyDescent="0.25">
      <c r="A571" s="573"/>
      <c r="B571" s="574"/>
      <c r="C571" s="533"/>
      <c r="D571" s="269" t="s">
        <v>215</v>
      </c>
      <c r="E571" s="311" t="s">
        <v>969</v>
      </c>
      <c r="F571" s="359">
        <f>(F566+F567+F568+F572+F570+F569)*66</f>
        <v>0</v>
      </c>
      <c r="G571" s="359">
        <v>0</v>
      </c>
      <c r="H571" s="289" t="s">
        <v>276</v>
      </c>
      <c r="I571" s="289" t="s">
        <v>979</v>
      </c>
      <c r="J571" s="290"/>
      <c r="K571" s="40"/>
      <c r="O571" s="351"/>
      <c r="P571" s="267">
        <f>O571*F571</f>
        <v>0</v>
      </c>
      <c r="W571"/>
    </row>
    <row r="572" spans="1:25" ht="15.75" customHeight="1" thickBot="1" x14ac:dyDescent="0.3">
      <c r="A572" s="573"/>
      <c r="B572" s="574"/>
      <c r="C572" s="532"/>
      <c r="D572" s="307" t="s">
        <v>205</v>
      </c>
      <c r="E572" s="308" t="s">
        <v>980</v>
      </c>
      <c r="F572" s="357"/>
      <c r="G572" s="357">
        <v>0</v>
      </c>
      <c r="H572" s="285" t="s">
        <v>394</v>
      </c>
      <c r="I572" s="285"/>
      <c r="J572" s="286"/>
      <c r="K572" s="40"/>
      <c r="O572" s="351">
        <v>33</v>
      </c>
      <c r="P572" s="267">
        <f>O572*F572</f>
        <v>0</v>
      </c>
      <c r="W572"/>
    </row>
    <row r="573" spans="1:25" ht="15.75" customHeight="1" x14ac:dyDescent="0.25">
      <c r="A573" s="573"/>
      <c r="B573" s="574"/>
      <c r="C573" s="529" t="s">
        <v>613</v>
      </c>
      <c r="D573" s="281" t="s">
        <v>207</v>
      </c>
      <c r="E573" s="323" t="s">
        <v>616</v>
      </c>
      <c r="F573" s="342"/>
      <c r="G573" s="342">
        <v>0</v>
      </c>
      <c r="H573" s="287" t="s">
        <v>276</v>
      </c>
      <c r="I573" s="287" t="s">
        <v>971</v>
      </c>
      <c r="J573" s="288"/>
      <c r="K573" s="40"/>
      <c r="O573" s="351">
        <v>11.65</v>
      </c>
      <c r="P573" s="267">
        <f>O573*F573</f>
        <v>0</v>
      </c>
      <c r="W573"/>
    </row>
    <row r="574" spans="1:25" ht="15.75" customHeight="1" x14ac:dyDescent="0.25">
      <c r="A574" s="573"/>
      <c r="B574" s="574"/>
      <c r="C574" s="533"/>
      <c r="D574" s="266" t="s">
        <v>207</v>
      </c>
      <c r="E574" s="311" t="s">
        <v>981</v>
      </c>
      <c r="F574" s="343"/>
      <c r="G574" s="343">
        <v>0</v>
      </c>
      <c r="H574" s="289" t="s">
        <v>276</v>
      </c>
      <c r="I574" s="289" t="s">
        <v>971</v>
      </c>
      <c r="J574" s="290"/>
      <c r="K574" s="40"/>
      <c r="O574" s="351">
        <v>6.48</v>
      </c>
      <c r="P574" s="267">
        <f>O574*F574</f>
        <v>0</v>
      </c>
      <c r="W574"/>
    </row>
    <row r="575" spans="1:25" ht="15.75" customHeight="1" x14ac:dyDescent="0.25">
      <c r="A575" s="573"/>
      <c r="B575" s="574"/>
      <c r="C575" s="533"/>
      <c r="D575" s="269" t="s">
        <v>215</v>
      </c>
      <c r="E575" s="436" t="s">
        <v>982</v>
      </c>
      <c r="F575" s="359">
        <f>(F573+F574)*22</f>
        <v>0</v>
      </c>
      <c r="G575" s="359">
        <v>0</v>
      </c>
      <c r="H575" s="289" t="s">
        <v>276</v>
      </c>
      <c r="I575" s="289"/>
      <c r="J575" s="290"/>
      <c r="K575" s="40"/>
      <c r="O575" s="351"/>
      <c r="P575" s="267"/>
      <c r="W575"/>
    </row>
    <row r="576" spans="1:25" ht="15.75" customHeight="1" x14ac:dyDescent="0.25">
      <c r="A576" s="573"/>
      <c r="B576" s="574"/>
      <c r="C576" s="533"/>
      <c r="D576" s="266" t="s">
        <v>207</v>
      </c>
      <c r="E576" s="311" t="s">
        <v>983</v>
      </c>
      <c r="F576" s="343"/>
      <c r="G576" s="343">
        <v>0</v>
      </c>
      <c r="H576" s="289" t="s">
        <v>276</v>
      </c>
      <c r="I576" s="289" t="s">
        <v>971</v>
      </c>
      <c r="J576" s="290"/>
      <c r="K576" s="40"/>
      <c r="O576" s="351"/>
      <c r="P576" s="267">
        <f>O576*F575</f>
        <v>0</v>
      </c>
      <c r="W576"/>
    </row>
    <row r="577" spans="1:23" ht="15.75" customHeight="1" x14ac:dyDescent="0.25">
      <c r="A577" s="573"/>
      <c r="B577" s="574"/>
      <c r="C577" s="533"/>
      <c r="D577" s="269" t="s">
        <v>215</v>
      </c>
      <c r="E577" s="436" t="s">
        <v>984</v>
      </c>
      <c r="F577" s="359">
        <f>F576*22</f>
        <v>0</v>
      </c>
      <c r="G577" s="359">
        <v>0</v>
      </c>
      <c r="H577" s="289" t="s">
        <v>276</v>
      </c>
      <c r="I577" s="289" t="s">
        <v>985</v>
      </c>
      <c r="J577" s="290"/>
      <c r="K577" s="40"/>
      <c r="O577" s="351"/>
      <c r="P577" s="267"/>
      <c r="W577"/>
    </row>
    <row r="578" spans="1:23" ht="15.75" customHeight="1" x14ac:dyDescent="0.25">
      <c r="A578" s="573"/>
      <c r="B578" s="574"/>
      <c r="C578" s="533"/>
      <c r="D578" s="266" t="s">
        <v>207</v>
      </c>
      <c r="E578" s="436" t="s">
        <v>986</v>
      </c>
      <c r="F578" s="343"/>
      <c r="G578" s="343">
        <v>0</v>
      </c>
      <c r="H578" s="289" t="s">
        <v>171</v>
      </c>
      <c r="I578" s="289"/>
      <c r="J578" s="290"/>
      <c r="K578" s="40"/>
      <c r="O578" s="351"/>
      <c r="P578" s="267">
        <f t="shared" ref="P578:P597" si="18">O578*F578</f>
        <v>0</v>
      </c>
      <c r="W578"/>
    </row>
    <row r="579" spans="1:23" ht="15.75" customHeight="1" x14ac:dyDescent="0.25">
      <c r="A579" s="573"/>
      <c r="B579" s="574"/>
      <c r="C579" s="533"/>
      <c r="D579" s="266" t="s">
        <v>207</v>
      </c>
      <c r="E579" s="436" t="s">
        <v>987</v>
      </c>
      <c r="F579" s="343"/>
      <c r="G579" s="343">
        <v>0</v>
      </c>
      <c r="H579" s="289" t="s">
        <v>171</v>
      </c>
      <c r="I579" s="289"/>
      <c r="J579" s="290"/>
      <c r="K579" s="40"/>
      <c r="O579" s="351"/>
      <c r="P579" s="267">
        <f t="shared" si="18"/>
        <v>0</v>
      </c>
      <c r="W579"/>
    </row>
    <row r="580" spans="1:23" ht="15.75" customHeight="1" thickBot="1" x14ac:dyDescent="0.3">
      <c r="A580" s="573"/>
      <c r="B580" s="574"/>
      <c r="C580" s="634"/>
      <c r="D580" s="166" t="s">
        <v>207</v>
      </c>
      <c r="E580" s="60" t="s">
        <v>988</v>
      </c>
      <c r="F580" s="102"/>
      <c r="G580" s="102">
        <v>0</v>
      </c>
      <c r="H580" s="60" t="s">
        <v>171</v>
      </c>
      <c r="I580" s="60" t="s">
        <v>971</v>
      </c>
      <c r="J580" s="73"/>
      <c r="K580" s="40"/>
      <c r="O580" s="351"/>
      <c r="P580" s="267">
        <f t="shared" si="18"/>
        <v>0</v>
      </c>
      <c r="W580"/>
    </row>
    <row r="581" spans="1:23" ht="15.75" customHeight="1" x14ac:dyDescent="0.25">
      <c r="A581" s="573"/>
      <c r="B581" s="574"/>
      <c r="C581" s="529" t="s">
        <v>989</v>
      </c>
      <c r="D581" s="281" t="s">
        <v>207</v>
      </c>
      <c r="E581" s="287" t="s">
        <v>990</v>
      </c>
      <c r="F581" s="342"/>
      <c r="G581" s="342">
        <v>0</v>
      </c>
      <c r="H581" s="287" t="s">
        <v>171</v>
      </c>
      <c r="I581" s="287" t="s">
        <v>989</v>
      </c>
      <c r="J581" s="288"/>
      <c r="K581" s="40"/>
      <c r="O581" s="351"/>
      <c r="P581" s="267">
        <f t="shared" si="18"/>
        <v>0</v>
      </c>
      <c r="W581"/>
    </row>
    <row r="582" spans="1:23" ht="15.75" customHeight="1" x14ac:dyDescent="0.25">
      <c r="A582" s="573"/>
      <c r="B582" s="574"/>
      <c r="C582" s="533"/>
      <c r="D582" s="97" t="s">
        <v>885</v>
      </c>
      <c r="E582" s="86" t="s">
        <v>514</v>
      </c>
      <c r="F582" s="343"/>
      <c r="G582" s="343">
        <v>0</v>
      </c>
      <c r="H582" s="56"/>
      <c r="I582" s="56"/>
      <c r="J582" s="57"/>
      <c r="K582" s="40"/>
      <c r="O582" s="351"/>
      <c r="P582" s="267">
        <f t="shared" si="18"/>
        <v>0</v>
      </c>
      <c r="W582"/>
    </row>
    <row r="583" spans="1:23" ht="15.75" customHeight="1" x14ac:dyDescent="0.25">
      <c r="A583" s="573"/>
      <c r="B583" s="574"/>
      <c r="C583" s="533"/>
      <c r="D583" s="105" t="s">
        <v>468</v>
      </c>
      <c r="E583" s="280" t="s">
        <v>991</v>
      </c>
      <c r="F583" s="360">
        <f>F582*20</f>
        <v>0</v>
      </c>
      <c r="G583" s="360">
        <v>0</v>
      </c>
      <c r="H583" s="56"/>
      <c r="I583" s="56"/>
      <c r="J583" s="57"/>
      <c r="K583" s="40"/>
      <c r="O583" s="351"/>
      <c r="P583" s="267">
        <f t="shared" si="18"/>
        <v>0</v>
      </c>
      <c r="W583"/>
    </row>
    <row r="584" spans="1:23" ht="15.75" customHeight="1" x14ac:dyDescent="0.25">
      <c r="A584" s="573"/>
      <c r="B584" s="574"/>
      <c r="C584" s="533"/>
      <c r="D584" s="105" t="s">
        <v>215</v>
      </c>
      <c r="E584" s="56" t="s">
        <v>992</v>
      </c>
      <c r="F584" s="85"/>
      <c r="G584" s="85">
        <v>0</v>
      </c>
      <c r="H584" s="56"/>
      <c r="I584" s="56" t="s">
        <v>993</v>
      </c>
      <c r="J584" s="57"/>
      <c r="K584" s="40"/>
      <c r="O584" s="351"/>
      <c r="P584" s="267">
        <f t="shared" si="18"/>
        <v>0</v>
      </c>
      <c r="W584"/>
    </row>
    <row r="585" spans="1:23" ht="15.75" customHeight="1" x14ac:dyDescent="0.25">
      <c r="A585" s="573"/>
      <c r="B585" s="574"/>
      <c r="C585" s="533"/>
      <c r="D585" s="268" t="s">
        <v>213</v>
      </c>
      <c r="E585" s="289" t="s">
        <v>914</v>
      </c>
      <c r="F585" s="343"/>
      <c r="G585" s="343">
        <v>0</v>
      </c>
      <c r="H585" s="289" t="s">
        <v>158</v>
      </c>
      <c r="I585" s="289" t="s">
        <v>994</v>
      </c>
      <c r="J585" s="290"/>
      <c r="K585" s="40"/>
      <c r="O585" s="351"/>
      <c r="P585" s="267">
        <f t="shared" si="18"/>
        <v>0</v>
      </c>
      <c r="W585"/>
    </row>
    <row r="586" spans="1:23" ht="15.75" customHeight="1" thickBot="1" x14ac:dyDescent="0.3">
      <c r="A586" s="573"/>
      <c r="B586" s="574"/>
      <c r="C586" s="532"/>
      <c r="D586" s="299" t="s">
        <v>213</v>
      </c>
      <c r="E586" s="285" t="s">
        <v>995</v>
      </c>
      <c r="F586" s="357"/>
      <c r="G586" s="357">
        <v>0</v>
      </c>
      <c r="H586" s="285" t="s">
        <v>171</v>
      </c>
      <c r="I586" s="285" t="s">
        <v>996</v>
      </c>
      <c r="J586" s="286" t="s">
        <v>997</v>
      </c>
      <c r="K586" s="40"/>
      <c r="O586" s="351"/>
      <c r="P586" s="267">
        <f t="shared" si="18"/>
        <v>0</v>
      </c>
      <c r="W586"/>
    </row>
    <row r="587" spans="1:23" ht="15.75" customHeight="1" x14ac:dyDescent="0.25">
      <c r="A587" s="573"/>
      <c r="B587" s="574"/>
      <c r="C587" s="529" t="s">
        <v>998</v>
      </c>
      <c r="D587" s="281" t="s">
        <v>207</v>
      </c>
      <c r="E587" s="323" t="s">
        <v>999</v>
      </c>
      <c r="F587" s="342"/>
      <c r="G587" s="342">
        <v>0</v>
      </c>
      <c r="H587" s="287" t="s">
        <v>276</v>
      </c>
      <c r="I587" s="287" t="s">
        <v>971</v>
      </c>
      <c r="J587" s="288"/>
      <c r="K587" s="40"/>
      <c r="O587" s="351">
        <v>3.37</v>
      </c>
      <c r="P587" s="267">
        <f t="shared" si="18"/>
        <v>0</v>
      </c>
    </row>
    <row r="588" spans="1:23" ht="15.75" customHeight="1" x14ac:dyDescent="0.25">
      <c r="A588" s="573"/>
      <c r="B588" s="574"/>
      <c r="C588" s="533"/>
      <c r="D588" s="269" t="s">
        <v>215</v>
      </c>
      <c r="E588" s="436" t="s">
        <v>982</v>
      </c>
      <c r="F588" s="359">
        <f>F587*20</f>
        <v>0</v>
      </c>
      <c r="G588" s="359">
        <v>0</v>
      </c>
      <c r="H588" s="289" t="s">
        <v>276</v>
      </c>
      <c r="I588" s="289"/>
      <c r="J588" s="290"/>
      <c r="K588" s="40"/>
      <c r="O588" s="351"/>
      <c r="P588" s="267">
        <f t="shared" si="18"/>
        <v>0</v>
      </c>
    </row>
    <row r="589" spans="1:23" ht="15.75" customHeight="1" thickBot="1" x14ac:dyDescent="0.3">
      <c r="A589" s="573"/>
      <c r="B589" s="574"/>
      <c r="C589" s="532"/>
      <c r="D589" s="332" t="s">
        <v>218</v>
      </c>
      <c r="E589" s="285" t="s">
        <v>1000</v>
      </c>
      <c r="F589" s="357"/>
      <c r="G589" s="357">
        <v>0</v>
      </c>
      <c r="H589" s="285"/>
      <c r="I589" s="285"/>
      <c r="J589" s="286"/>
      <c r="K589" s="40"/>
      <c r="O589" s="351"/>
      <c r="P589" s="267">
        <f t="shared" si="18"/>
        <v>0</v>
      </c>
    </row>
    <row r="590" spans="1:23" ht="15.75" customHeight="1" x14ac:dyDescent="0.25">
      <c r="A590" s="573"/>
      <c r="B590" s="574"/>
      <c r="C590" s="529" t="s">
        <v>617</v>
      </c>
      <c r="D590" s="281" t="s">
        <v>207</v>
      </c>
      <c r="E590" s="86" t="s">
        <v>514</v>
      </c>
      <c r="F590" s="342"/>
      <c r="G590" s="342">
        <v>0</v>
      </c>
      <c r="H590" s="287" t="s">
        <v>276</v>
      </c>
      <c r="I590" s="287" t="s">
        <v>1001</v>
      </c>
      <c r="J590" s="288"/>
      <c r="K590" s="40"/>
      <c r="O590" s="351">
        <v>2.0299999999999998</v>
      </c>
      <c r="P590" s="267">
        <f t="shared" si="18"/>
        <v>0</v>
      </c>
    </row>
    <row r="591" spans="1:23" ht="15.75" customHeight="1" thickBot="1" x14ac:dyDescent="0.3">
      <c r="A591" s="573"/>
      <c r="B591" s="574"/>
      <c r="C591" s="533"/>
      <c r="D591" s="104" t="s">
        <v>215</v>
      </c>
      <c r="E591" s="60" t="s">
        <v>498</v>
      </c>
      <c r="F591" s="96">
        <f>F590*10</f>
        <v>0</v>
      </c>
      <c r="G591" s="96">
        <v>0</v>
      </c>
      <c r="H591" s="60" t="s">
        <v>276</v>
      </c>
      <c r="I591" s="60"/>
      <c r="J591" s="73"/>
      <c r="K591" s="40"/>
      <c r="O591" s="351"/>
      <c r="P591" s="267">
        <f t="shared" si="18"/>
        <v>0</v>
      </c>
    </row>
    <row r="592" spans="1:23" ht="15.75" customHeight="1" x14ac:dyDescent="0.25">
      <c r="A592" s="573"/>
      <c r="B592" s="574"/>
      <c r="C592" s="529" t="s">
        <v>671</v>
      </c>
      <c r="D592" s="281" t="s">
        <v>207</v>
      </c>
      <c r="E592" s="323" t="s">
        <v>630</v>
      </c>
      <c r="F592" s="342"/>
      <c r="G592" s="342">
        <v>0</v>
      </c>
      <c r="H592" s="287" t="s">
        <v>276</v>
      </c>
      <c r="I592" s="287" t="s">
        <v>1001</v>
      </c>
      <c r="J592" s="288"/>
      <c r="K592" s="40"/>
      <c r="O592" s="351">
        <v>5.37</v>
      </c>
      <c r="P592" s="267">
        <f t="shared" si="18"/>
        <v>0</v>
      </c>
    </row>
    <row r="593" spans="1:16" ht="15.75" customHeight="1" thickBot="1" x14ac:dyDescent="0.3">
      <c r="A593" s="573"/>
      <c r="B593" s="574"/>
      <c r="C593" s="532"/>
      <c r="D593" s="283" t="s">
        <v>215</v>
      </c>
      <c r="E593" s="285" t="s">
        <v>498</v>
      </c>
      <c r="F593" s="353">
        <f>F592*20</f>
        <v>0</v>
      </c>
      <c r="G593" s="353">
        <v>0</v>
      </c>
      <c r="H593" s="285" t="s">
        <v>276</v>
      </c>
      <c r="I593" s="285"/>
      <c r="J593" s="286"/>
      <c r="K593" s="40"/>
      <c r="O593" s="351"/>
      <c r="P593" s="267">
        <f t="shared" si="18"/>
        <v>0</v>
      </c>
    </row>
    <row r="594" spans="1:16" ht="15.75" customHeight="1" x14ac:dyDescent="0.25">
      <c r="A594" s="573"/>
      <c r="B594" s="574"/>
      <c r="C594" s="529" t="s">
        <v>833</v>
      </c>
      <c r="D594" s="310" t="s">
        <v>205</v>
      </c>
      <c r="E594" s="287" t="s">
        <v>570</v>
      </c>
      <c r="F594" s="342"/>
      <c r="G594" s="342">
        <v>0</v>
      </c>
      <c r="H594" s="287" t="s">
        <v>394</v>
      </c>
      <c r="I594" s="287"/>
      <c r="J594" s="288"/>
      <c r="K594" s="40"/>
      <c r="O594" s="351">
        <v>24.38</v>
      </c>
      <c r="P594" s="267">
        <f t="shared" si="18"/>
        <v>0</v>
      </c>
    </row>
    <row r="595" spans="1:16" ht="15.75" customHeight="1" thickBot="1" x14ac:dyDescent="0.3">
      <c r="A595" s="573"/>
      <c r="B595" s="574"/>
      <c r="C595" s="533"/>
      <c r="D595" s="269" t="s">
        <v>215</v>
      </c>
      <c r="E595" s="311" t="s">
        <v>516</v>
      </c>
      <c r="F595" s="359">
        <f>F594*66</f>
        <v>0</v>
      </c>
      <c r="G595" s="359">
        <v>0</v>
      </c>
      <c r="H595" s="289" t="s">
        <v>171</v>
      </c>
      <c r="I595" s="289"/>
      <c r="J595" s="290"/>
      <c r="K595" s="40"/>
      <c r="O595" s="351"/>
      <c r="P595" s="267">
        <f t="shared" si="18"/>
        <v>0</v>
      </c>
    </row>
    <row r="596" spans="1:16" ht="15.75" customHeight="1" x14ac:dyDescent="0.25">
      <c r="A596" s="573"/>
      <c r="B596" s="574"/>
      <c r="C596" s="529" t="s">
        <v>218</v>
      </c>
      <c r="D596" s="404" t="s">
        <v>218</v>
      </c>
      <c r="E596" s="287" t="s">
        <v>218</v>
      </c>
      <c r="F596" s="342"/>
      <c r="G596" s="342">
        <v>0</v>
      </c>
      <c r="H596" s="287" t="s">
        <v>292</v>
      </c>
      <c r="I596" s="282"/>
      <c r="J596" s="288"/>
      <c r="K596" s="40"/>
      <c r="O596" s="351"/>
      <c r="P596" s="267">
        <f t="shared" si="18"/>
        <v>0</v>
      </c>
    </row>
    <row r="597" spans="1:16" ht="15.75" customHeight="1" thickBot="1" x14ac:dyDescent="0.3">
      <c r="A597" s="575"/>
      <c r="B597" s="576"/>
      <c r="C597" s="532"/>
      <c r="D597" s="416" t="s">
        <v>221</v>
      </c>
      <c r="E597" s="285" t="s">
        <v>668</v>
      </c>
      <c r="F597" s="357"/>
      <c r="G597" s="357">
        <v>0</v>
      </c>
      <c r="H597" s="285" t="s">
        <v>276</v>
      </c>
      <c r="I597" s="292"/>
      <c r="J597" s="286"/>
      <c r="K597" s="40"/>
      <c r="O597" s="351"/>
      <c r="P597" s="267">
        <f t="shared" si="18"/>
        <v>0</v>
      </c>
    </row>
    <row r="598" spans="1:16" ht="15.75" customHeight="1" thickBot="1" x14ac:dyDescent="0.3">
      <c r="B598" s="40"/>
      <c r="C598" s="40"/>
      <c r="D598" s="40"/>
      <c r="E598" s="194"/>
      <c r="F598" s="40"/>
      <c r="G598" s="40"/>
      <c r="H598" s="40"/>
      <c r="I598" s="40"/>
      <c r="J598" s="40"/>
      <c r="K598" s="40"/>
    </row>
    <row r="599" spans="1:16" ht="15.75" customHeight="1" thickBot="1" x14ac:dyDescent="0.3">
      <c r="A599" s="560" t="s">
        <v>1195</v>
      </c>
      <c r="B599" s="561"/>
      <c r="C599" s="40"/>
      <c r="D599" s="40"/>
      <c r="E599" s="194"/>
      <c r="F599" s="40"/>
      <c r="G599" s="40"/>
      <c r="H599" s="40"/>
      <c r="I599" s="40"/>
      <c r="J599" s="40"/>
      <c r="K599" s="40"/>
    </row>
    <row r="600" spans="1:16" ht="15.75" customHeight="1" thickBot="1" x14ac:dyDescent="0.3">
      <c r="A600" s="562"/>
      <c r="B600" s="563"/>
      <c r="C600" s="448"/>
      <c r="D600" s="449"/>
      <c r="E600" s="449"/>
      <c r="F600" s="450"/>
      <c r="G600" s="450"/>
      <c r="H600" s="63"/>
      <c r="I600" s="63"/>
      <c r="J600" s="64"/>
      <c r="K600" s="40"/>
    </row>
    <row r="601" spans="1:16" ht="15.75" customHeight="1" x14ac:dyDescent="0.25">
      <c r="C601" s="40"/>
      <c r="D601" s="40"/>
      <c r="E601" s="194"/>
      <c r="F601" s="40"/>
      <c r="G601" s="40"/>
      <c r="H601" s="40"/>
      <c r="I601" s="40"/>
      <c r="J601" s="40"/>
      <c r="K601" s="40"/>
    </row>
    <row r="602" spans="1:16" ht="15.75" customHeight="1" x14ac:dyDescent="0.25">
      <c r="B602" s="40"/>
      <c r="C602" s="40"/>
      <c r="D602" s="40"/>
      <c r="E602" s="194"/>
      <c r="F602" s="40"/>
      <c r="G602" s="40"/>
      <c r="H602" s="40"/>
      <c r="I602" s="40"/>
      <c r="J602" s="40"/>
      <c r="K602" s="40"/>
    </row>
    <row r="603" spans="1:16" ht="15.75" customHeight="1" thickBot="1" x14ac:dyDescent="0.3">
      <c r="B603" s="40"/>
      <c r="C603" s="40"/>
      <c r="D603" s="40"/>
      <c r="E603" s="194" t="s">
        <v>1002</v>
      </c>
      <c r="F603" s="40" t="e">
        <f>SUM(F61:F601)</f>
        <v>#REF!</v>
      </c>
      <c r="G603" s="40">
        <f>SUM(G61:G601)</f>
        <v>1</v>
      </c>
      <c r="H603" s="40"/>
      <c r="I603" s="40"/>
      <c r="J603" s="40"/>
      <c r="K603" s="40"/>
    </row>
    <row r="604" spans="1:16" ht="15.75" customHeight="1" thickBot="1" x14ac:dyDescent="0.3">
      <c r="B604" s="40"/>
      <c r="C604" s="40"/>
      <c r="D604" s="40"/>
      <c r="E604" s="40"/>
      <c r="F604" s="41"/>
      <c r="G604" s="41"/>
      <c r="H604" s="40"/>
      <c r="I604" s="40"/>
      <c r="J604" s="40"/>
      <c r="K604" s="40"/>
      <c r="O604" s="195" t="s">
        <v>1003</v>
      </c>
      <c r="P604" s="196" t="e">
        <f>SUM(P61,P62,P65:P597)</f>
        <v>#REF!</v>
      </c>
    </row>
  </sheetData>
  <autoFilter ref="A13:J597" xr:uid="{00000000-0009-0000-0000-000005000000}"/>
  <mergeCells count="141">
    <mergeCell ref="C592:C593"/>
    <mergeCell ref="C594:C595"/>
    <mergeCell ref="C596:C597"/>
    <mergeCell ref="A528:B559"/>
    <mergeCell ref="C528:C545"/>
    <mergeCell ref="C547:C559"/>
    <mergeCell ref="A560:B597"/>
    <mergeCell ref="C560:C565"/>
    <mergeCell ref="C566:C572"/>
    <mergeCell ref="C573:C580"/>
    <mergeCell ref="C581:C586"/>
    <mergeCell ref="C587:C589"/>
    <mergeCell ref="C590:C591"/>
    <mergeCell ref="A506:B527"/>
    <mergeCell ref="C506:C511"/>
    <mergeCell ref="C512:C517"/>
    <mergeCell ref="C518:C519"/>
    <mergeCell ref="C520:C521"/>
    <mergeCell ref="C522:C523"/>
    <mergeCell ref="C524:C525"/>
    <mergeCell ref="C526:C527"/>
    <mergeCell ref="A487:B505"/>
    <mergeCell ref="C487:C488"/>
    <mergeCell ref="C489:C490"/>
    <mergeCell ref="C491:C493"/>
    <mergeCell ref="C494:C496"/>
    <mergeCell ref="C497:C498"/>
    <mergeCell ref="C499:C501"/>
    <mergeCell ref="C502:C505"/>
    <mergeCell ref="A417:B448"/>
    <mergeCell ref="C417:C418"/>
    <mergeCell ref="C419:C420"/>
    <mergeCell ref="C421:C422"/>
    <mergeCell ref="C423:C424"/>
    <mergeCell ref="C425:C426"/>
    <mergeCell ref="A465:B486"/>
    <mergeCell ref="C465:C466"/>
    <mergeCell ref="C467:C468"/>
    <mergeCell ref="C469:C470"/>
    <mergeCell ref="C471:C472"/>
    <mergeCell ref="C473:C474"/>
    <mergeCell ref="C475:C478"/>
    <mergeCell ref="C479:C486"/>
    <mergeCell ref="C427:C431"/>
    <mergeCell ref="C432:C434"/>
    <mergeCell ref="C435:C438"/>
    <mergeCell ref="C439:C443"/>
    <mergeCell ref="C444:C448"/>
    <mergeCell ref="A449:B464"/>
    <mergeCell ref="C449:C450"/>
    <mergeCell ref="C451:C454"/>
    <mergeCell ref="C455:C458"/>
    <mergeCell ref="C459:C464"/>
    <mergeCell ref="C339:C343"/>
    <mergeCell ref="C344:C346"/>
    <mergeCell ref="C347:C359"/>
    <mergeCell ref="A360:B378"/>
    <mergeCell ref="C360:C378"/>
    <mergeCell ref="C379:C381"/>
    <mergeCell ref="A380:B416"/>
    <mergeCell ref="C382:C383"/>
    <mergeCell ref="C384:C385"/>
    <mergeCell ref="C386:C388"/>
    <mergeCell ref="C389:C392"/>
    <mergeCell ref="C393:C396"/>
    <mergeCell ref="C397:C400"/>
    <mergeCell ref="C401:C406"/>
    <mergeCell ref="C407:C411"/>
    <mergeCell ref="C412:C416"/>
    <mergeCell ref="I280:I282"/>
    <mergeCell ref="A283:B310"/>
    <mergeCell ref="C283:C286"/>
    <mergeCell ref="C287:C292"/>
    <mergeCell ref="C293:C298"/>
    <mergeCell ref="C299:C306"/>
    <mergeCell ref="A214:B282"/>
    <mergeCell ref="C214:C226"/>
    <mergeCell ref="C227:C237"/>
    <mergeCell ref="C238:C241"/>
    <mergeCell ref="C242:C247"/>
    <mergeCell ref="C248:C253"/>
    <mergeCell ref="C254:C258"/>
    <mergeCell ref="C259:C262"/>
    <mergeCell ref="C263:C266"/>
    <mergeCell ref="C267:C269"/>
    <mergeCell ref="C307:C308"/>
    <mergeCell ref="C309:C311"/>
    <mergeCell ref="K137:M151"/>
    <mergeCell ref="C144:C146"/>
    <mergeCell ref="C147:C151"/>
    <mergeCell ref="C152:C153"/>
    <mergeCell ref="J152:J153"/>
    <mergeCell ref="C154:C156"/>
    <mergeCell ref="A78:B188"/>
    <mergeCell ref="C78:C80"/>
    <mergeCell ref="C81:C109"/>
    <mergeCell ref="C110:C120"/>
    <mergeCell ref="C121:C123"/>
    <mergeCell ref="C124:C130"/>
    <mergeCell ref="C131:C136"/>
    <mergeCell ref="C137:C143"/>
    <mergeCell ref="C157:C159"/>
    <mergeCell ref="C160:C169"/>
    <mergeCell ref="C170:C172"/>
    <mergeCell ref="C173:C175"/>
    <mergeCell ref="C176:C180"/>
    <mergeCell ref="C181:C186"/>
    <mergeCell ref="C187:C188"/>
    <mergeCell ref="E3:E5"/>
    <mergeCell ref="A5:B6"/>
    <mergeCell ref="A14:B48"/>
    <mergeCell ref="C27:D27"/>
    <mergeCell ref="C28:D28"/>
    <mergeCell ref="C29:D29"/>
    <mergeCell ref="C33:D33"/>
    <mergeCell ref="C37:D37"/>
    <mergeCell ref="C41:D41"/>
    <mergeCell ref="A599:B599"/>
    <mergeCell ref="A600:B600"/>
    <mergeCell ref="A49:B60"/>
    <mergeCell ref="C49:C56"/>
    <mergeCell ref="C57:C60"/>
    <mergeCell ref="A61:B77"/>
    <mergeCell ref="C61:C70"/>
    <mergeCell ref="C71:C77"/>
    <mergeCell ref="A3:B4"/>
    <mergeCell ref="A189:B213"/>
    <mergeCell ref="C189:C193"/>
    <mergeCell ref="C194:C199"/>
    <mergeCell ref="C200:C210"/>
    <mergeCell ref="C211:C213"/>
    <mergeCell ref="C270:C272"/>
    <mergeCell ref="C273:C276"/>
    <mergeCell ref="C277:C279"/>
    <mergeCell ref="C280:C282"/>
    <mergeCell ref="C312:C322"/>
    <mergeCell ref="A314:B359"/>
    <mergeCell ref="C323:C328"/>
    <mergeCell ref="C329:C332"/>
    <mergeCell ref="C333:C335"/>
    <mergeCell ref="C336:C338"/>
  </mergeCells>
  <dataValidations count="5">
    <dataValidation type="list" allowBlank="1" showInputMessage="1" showErrorMessage="1" sqref="A600:B600" xr:uid="{FAAC76EC-5932-4B73-BA15-B2EDD9A69C07}">
      <formula1>$W$1:$W$21</formula1>
    </dataValidation>
    <dataValidation type="list" allowBlank="1" showInputMessage="1" showErrorMessage="1" sqref="C600" xr:uid="{A1438638-8C92-44E2-B014-A00D29F6E1BD}">
      <formula1>$X$1:$X$82</formula1>
    </dataValidation>
    <dataValidation type="list" allowBlank="1" showInputMessage="1" showErrorMessage="1" sqref="D600" xr:uid="{FAC92D37-4810-4598-81E1-39348BED7EB2}">
      <formula1>$D$2:$D$11</formula1>
    </dataValidation>
    <dataValidation type="list" allowBlank="1" showInputMessage="1" showErrorMessage="1" sqref="E600" xr:uid="{44AAE3E4-9E81-4B10-BFFE-3AFCA97AF322}">
      <formula1>$E$14:$E$597</formula1>
    </dataValidation>
    <dataValidation type="list" allowBlank="1" showInputMessage="1" showErrorMessage="1" sqref="H600" xr:uid="{2217C26F-917E-4E14-93A1-DBCD2014AE2B}">
      <formula1>$H$14:$H$597</formula1>
    </dataValidation>
  </dataValidations>
  <pageMargins left="0.7" right="0.7" top="0.75" bottom="0.75" header="0" footer="0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849-6F86-4DE7-BC55-91E1BE40E0F3}">
  <sheetPr codeName="Лист3"/>
  <dimension ref="A1:AY174"/>
  <sheetViews>
    <sheetView workbookViewId="0"/>
  </sheetViews>
  <sheetFormatPr defaultRowHeight="15" x14ac:dyDescent="0.25"/>
  <cols>
    <col min="1" max="1" width="10.28515625" customWidth="1"/>
    <col min="2" max="2" width="12" customWidth="1"/>
    <col min="4" max="4" width="14.85546875" customWidth="1"/>
    <col min="5" max="5" width="32.7109375" customWidth="1"/>
    <col min="6" max="6" width="9.5703125" style="5" customWidth="1"/>
    <col min="7" max="7" width="3.42578125" style="5" customWidth="1"/>
    <col min="8" max="10" width="3.42578125" customWidth="1"/>
    <col min="11" max="11" width="37.28515625" customWidth="1"/>
    <col min="12" max="13" width="13.28515625" style="11" customWidth="1"/>
    <col min="14" max="14" width="33.28515625" style="216" customWidth="1"/>
    <col min="15" max="15" width="37.85546875" style="11" customWidth="1"/>
    <col min="16" max="18" width="3.42578125" style="11" customWidth="1"/>
    <col min="19" max="19" width="44.140625" customWidth="1"/>
    <col min="20" max="20" width="31.5703125" customWidth="1"/>
    <col min="21" max="21" width="11.5703125" customWidth="1"/>
    <col min="22" max="22" width="11.5703125" style="11" customWidth="1"/>
    <col min="23" max="23" width="14.42578125" customWidth="1"/>
    <col min="24" max="24" width="14.42578125" style="216" customWidth="1"/>
    <col min="25" max="25" width="14.42578125" style="217" customWidth="1"/>
    <col min="26" max="28" width="3.42578125" customWidth="1"/>
    <col min="29" max="29" width="33.85546875" customWidth="1"/>
    <col min="32" max="32" width="8.85546875" customWidth="1"/>
    <col min="33" max="39" width="3.42578125" customWidth="1"/>
    <col min="40" max="40" width="30" customWidth="1"/>
    <col min="43" max="49" width="3" customWidth="1"/>
    <col min="50" max="50" width="32.7109375" style="11" customWidth="1"/>
    <col min="51" max="51" width="9.5703125" style="11" customWidth="1"/>
  </cols>
  <sheetData>
    <row r="1" spans="1:51" s="4" customFormat="1" ht="50.1" customHeight="1" x14ac:dyDescent="0.25">
      <c r="A1" s="29" t="s">
        <v>71</v>
      </c>
      <c r="B1" s="29" t="s">
        <v>70</v>
      </c>
      <c r="D1" s="29" t="s">
        <v>72</v>
      </c>
      <c r="E1" s="638" t="s">
        <v>180</v>
      </c>
      <c r="F1" s="639"/>
      <c r="J1" s="11"/>
      <c r="K1" s="29" t="s">
        <v>99</v>
      </c>
      <c r="L1" s="29" t="s">
        <v>103</v>
      </c>
      <c r="M1" s="29" t="s">
        <v>178</v>
      </c>
      <c r="N1" s="29" t="s">
        <v>1147</v>
      </c>
      <c r="O1" s="29" t="s">
        <v>1148</v>
      </c>
      <c r="P1" s="13"/>
      <c r="Q1" s="13"/>
      <c r="R1" s="13"/>
      <c r="S1" s="29" t="s">
        <v>94</v>
      </c>
      <c r="T1" s="29" t="s">
        <v>100</v>
      </c>
      <c r="U1" s="29" t="s">
        <v>104</v>
      </c>
      <c r="V1" s="29" t="s">
        <v>177</v>
      </c>
      <c r="W1" s="29" t="s">
        <v>1145</v>
      </c>
      <c r="X1" s="29" t="s">
        <v>1146</v>
      </c>
      <c r="Y1" s="29" t="s">
        <v>1149</v>
      </c>
      <c r="Z1" s="15"/>
      <c r="AA1" s="15"/>
      <c r="AB1" s="15"/>
      <c r="AC1" s="635" t="s">
        <v>106</v>
      </c>
      <c r="AD1" s="636"/>
      <c r="AE1" s="637"/>
      <c r="AF1" s="29" t="s">
        <v>107</v>
      </c>
      <c r="AN1" s="635" t="s">
        <v>156</v>
      </c>
      <c r="AO1" s="636"/>
      <c r="AP1" s="637"/>
      <c r="AX1" s="638" t="s">
        <v>204</v>
      </c>
      <c r="AY1" s="639"/>
    </row>
    <row r="2" spans="1:51" ht="15" customHeight="1" x14ac:dyDescent="0.25">
      <c r="A2" s="3" t="s">
        <v>30</v>
      </c>
      <c r="B2" s="3">
        <v>3000</v>
      </c>
      <c r="D2" s="34">
        <v>3000</v>
      </c>
      <c r="E2" s="3" t="s">
        <v>181</v>
      </c>
      <c r="F2" s="33">
        <v>3</v>
      </c>
      <c r="J2" s="11"/>
      <c r="K2" s="3" t="s">
        <v>14</v>
      </c>
      <c r="L2" s="3" t="s">
        <v>101</v>
      </c>
      <c r="M2" s="3" t="s">
        <v>17</v>
      </c>
      <c r="N2" s="3" t="s">
        <v>1008</v>
      </c>
      <c r="O2" s="3" t="s">
        <v>1009</v>
      </c>
      <c r="P2" s="14"/>
      <c r="Q2" s="14"/>
      <c r="R2" s="14"/>
      <c r="S2" s="3" t="s">
        <v>91</v>
      </c>
      <c r="T2" s="3" t="s">
        <v>1152</v>
      </c>
      <c r="U2" s="255" t="s">
        <v>101</v>
      </c>
      <c r="V2" s="3" t="s">
        <v>17</v>
      </c>
      <c r="W2" s="3"/>
      <c r="X2" s="3"/>
      <c r="Y2" s="3"/>
      <c r="Z2" s="11"/>
      <c r="AA2" s="11"/>
      <c r="AB2" s="16"/>
      <c r="AC2" s="17" t="s">
        <v>108</v>
      </c>
      <c r="AD2" s="17" t="s">
        <v>109</v>
      </c>
      <c r="AE2" s="18">
        <v>24380</v>
      </c>
      <c r="AF2" s="17">
        <v>0.55000000000000004</v>
      </c>
      <c r="AN2" s="17" t="s">
        <v>157</v>
      </c>
      <c r="AO2" s="17" t="s">
        <v>158</v>
      </c>
      <c r="AP2" s="30">
        <v>0</v>
      </c>
      <c r="AX2" s="3" t="s">
        <v>202</v>
      </c>
      <c r="AY2" s="33">
        <v>0.223</v>
      </c>
    </row>
    <row r="3" spans="1:51" x14ac:dyDescent="0.25">
      <c r="A3" s="3" t="s">
        <v>31</v>
      </c>
      <c r="B3" s="3">
        <v>3000</v>
      </c>
      <c r="D3" s="34">
        <v>4000</v>
      </c>
      <c r="E3" s="3"/>
      <c r="F3" s="33"/>
      <c r="J3" s="11"/>
      <c r="K3" s="3" t="s">
        <v>15</v>
      </c>
      <c r="L3" s="3" t="s">
        <v>102</v>
      </c>
      <c r="M3" s="3" t="s">
        <v>179</v>
      </c>
      <c r="N3" s="3" t="s">
        <v>74</v>
      </c>
      <c r="O3" s="3" t="s">
        <v>1011</v>
      </c>
      <c r="P3" s="14"/>
      <c r="Q3" s="14"/>
      <c r="R3" s="14"/>
      <c r="S3" s="3" t="s">
        <v>24</v>
      </c>
      <c r="T3" s="3" t="s">
        <v>95</v>
      </c>
      <c r="U3" s="255" t="s">
        <v>101</v>
      </c>
      <c r="V3" s="3" t="s">
        <v>17</v>
      </c>
      <c r="W3" s="3"/>
      <c r="X3" s="3"/>
      <c r="Y3" s="3"/>
      <c r="Z3" s="11"/>
      <c r="AA3" s="11"/>
      <c r="AB3" s="11"/>
      <c r="AC3" s="17" t="s">
        <v>110</v>
      </c>
      <c r="AD3" s="17" t="s">
        <v>109</v>
      </c>
      <c r="AE3" s="19">
        <v>23680</v>
      </c>
      <c r="AF3" s="17">
        <v>0.55000000000000004</v>
      </c>
      <c r="AN3" s="17" t="s">
        <v>159</v>
      </c>
      <c r="AO3" s="17" t="s">
        <v>160</v>
      </c>
      <c r="AP3" s="19">
        <v>440</v>
      </c>
      <c r="AX3" s="3" t="s">
        <v>203</v>
      </c>
      <c r="AY3" s="33">
        <v>0.8</v>
      </c>
    </row>
    <row r="4" spans="1:51" x14ac:dyDescent="0.25">
      <c r="A4" s="3" t="s">
        <v>32</v>
      </c>
      <c r="B4" s="3">
        <v>6000</v>
      </c>
      <c r="D4" s="34">
        <v>6000</v>
      </c>
      <c r="E4" s="3"/>
      <c r="F4" s="33"/>
      <c r="J4" s="11"/>
      <c r="K4" s="3" t="s">
        <v>16</v>
      </c>
      <c r="L4" s="3"/>
      <c r="M4" s="3"/>
      <c r="N4" s="3" t="s">
        <v>1040</v>
      </c>
      <c r="O4" s="3" t="s">
        <v>843</v>
      </c>
      <c r="P4" s="14"/>
      <c r="Q4" s="14"/>
      <c r="R4" s="14"/>
      <c r="S4" s="3" t="s">
        <v>93</v>
      </c>
      <c r="T4" s="3" t="s">
        <v>98</v>
      </c>
      <c r="U4" s="255" t="s">
        <v>102</v>
      </c>
      <c r="V4" s="3" t="s">
        <v>17</v>
      </c>
      <c r="W4" s="3"/>
      <c r="X4" s="3"/>
      <c r="Y4" s="3"/>
      <c r="Z4" s="11"/>
      <c r="AA4" s="11"/>
      <c r="AB4" s="11"/>
      <c r="AC4" s="17" t="s">
        <v>111</v>
      </c>
      <c r="AD4" s="17" t="s">
        <v>109</v>
      </c>
      <c r="AE4" s="18">
        <v>18500</v>
      </c>
      <c r="AF4" s="17">
        <v>0.65</v>
      </c>
      <c r="AN4" s="17" t="s">
        <v>161</v>
      </c>
      <c r="AO4" s="17" t="s">
        <v>162</v>
      </c>
      <c r="AP4" s="19">
        <v>50</v>
      </c>
      <c r="AX4" s="3" t="s">
        <v>201</v>
      </c>
      <c r="AY4" s="33">
        <v>0.155</v>
      </c>
    </row>
    <row r="5" spans="1:51" x14ac:dyDescent="0.25">
      <c r="A5" s="3" t="s">
        <v>33</v>
      </c>
      <c r="B5" s="3">
        <v>6000</v>
      </c>
      <c r="D5" s="34">
        <v>9000</v>
      </c>
      <c r="E5" s="3"/>
      <c r="F5" s="33"/>
      <c r="J5" s="11"/>
      <c r="K5" s="3" t="s">
        <v>1152</v>
      </c>
      <c r="L5" s="3"/>
      <c r="M5" s="3"/>
      <c r="N5" s="3" t="s">
        <v>1061</v>
      </c>
      <c r="O5" s="3" t="s">
        <v>485</v>
      </c>
      <c r="P5" s="14"/>
      <c r="Q5" s="14"/>
      <c r="R5" s="14"/>
      <c r="S5" s="3" t="s">
        <v>29</v>
      </c>
      <c r="T5" s="3" t="s">
        <v>98</v>
      </c>
      <c r="U5" s="255" t="s">
        <v>102</v>
      </c>
      <c r="V5" s="3" t="s">
        <v>17</v>
      </c>
      <c r="W5" s="3"/>
      <c r="X5" s="3"/>
      <c r="Y5" s="3"/>
      <c r="Z5" s="11"/>
      <c r="AA5" s="11"/>
      <c r="AB5" s="11"/>
      <c r="AC5" s="17" t="s">
        <v>112</v>
      </c>
      <c r="AD5" s="17" t="s">
        <v>109</v>
      </c>
      <c r="AE5" s="20">
        <v>690</v>
      </c>
      <c r="AF5" s="17">
        <v>0.65</v>
      </c>
      <c r="AN5" s="17" t="s">
        <v>163</v>
      </c>
      <c r="AO5" s="17" t="s">
        <v>162</v>
      </c>
      <c r="AP5" s="19">
        <v>22</v>
      </c>
      <c r="AX5" s="3"/>
      <c r="AY5" s="33"/>
    </row>
    <row r="6" spans="1:51" x14ac:dyDescent="0.25">
      <c r="A6" s="3" t="s">
        <v>34</v>
      </c>
      <c r="B6" s="3">
        <v>6000</v>
      </c>
      <c r="D6" s="34">
        <v>12000</v>
      </c>
      <c r="E6" s="3"/>
      <c r="F6" s="33"/>
      <c r="J6" s="11"/>
      <c r="K6" s="3" t="s">
        <v>18</v>
      </c>
      <c r="L6" s="3"/>
      <c r="M6" s="3"/>
      <c r="N6" s="3" t="s">
        <v>1070</v>
      </c>
      <c r="O6" s="3" t="s">
        <v>1026</v>
      </c>
      <c r="P6" s="14"/>
      <c r="Q6" s="14"/>
      <c r="R6" s="14"/>
      <c r="S6" s="3" t="s">
        <v>89</v>
      </c>
      <c r="T6" s="3" t="s">
        <v>14</v>
      </c>
      <c r="U6" s="255" t="s">
        <v>102</v>
      </c>
      <c r="V6" s="3" t="s">
        <v>179</v>
      </c>
      <c r="W6" s="3"/>
      <c r="X6" s="3"/>
      <c r="Y6" s="3"/>
      <c r="Z6" s="11"/>
      <c r="AA6" s="11"/>
      <c r="AB6" s="11"/>
      <c r="AC6" s="17" t="s">
        <v>113</v>
      </c>
      <c r="AD6" s="17" t="s">
        <v>109</v>
      </c>
      <c r="AE6" s="20">
        <v>1030</v>
      </c>
      <c r="AF6" s="17">
        <v>0.65</v>
      </c>
      <c r="AN6" s="17" t="s">
        <v>164</v>
      </c>
      <c r="AO6" s="17" t="s">
        <v>160</v>
      </c>
      <c r="AP6" s="19">
        <v>330</v>
      </c>
      <c r="AX6" s="3"/>
      <c r="AY6" s="33"/>
    </row>
    <row r="7" spans="1:51" x14ac:dyDescent="0.25">
      <c r="A7" s="3" t="s">
        <v>35</v>
      </c>
      <c r="B7" s="3">
        <v>6000</v>
      </c>
      <c r="D7" s="7" t="s">
        <v>73</v>
      </c>
      <c r="E7" s="3"/>
      <c r="F7" s="33"/>
      <c r="J7" s="11"/>
      <c r="K7" s="3" t="s">
        <v>19</v>
      </c>
      <c r="L7" s="3"/>
      <c r="M7" s="3"/>
      <c r="N7" s="3" t="s">
        <v>1086</v>
      </c>
      <c r="O7" s="3" t="s">
        <v>349</v>
      </c>
      <c r="P7" s="14"/>
      <c r="Q7" s="14"/>
      <c r="R7" s="14"/>
      <c r="S7" s="3" t="s">
        <v>190</v>
      </c>
      <c r="T7" s="3" t="s">
        <v>75</v>
      </c>
      <c r="U7" s="255" t="s">
        <v>102</v>
      </c>
      <c r="V7" s="3" t="s">
        <v>17</v>
      </c>
      <c r="W7" s="3"/>
      <c r="X7" s="3"/>
      <c r="Y7" s="3"/>
      <c r="Z7" s="11"/>
      <c r="AA7" s="11"/>
      <c r="AB7" s="11"/>
      <c r="AC7" s="17" t="s">
        <v>114</v>
      </c>
      <c r="AD7" s="17" t="s">
        <v>109</v>
      </c>
      <c r="AE7" s="20">
        <v>945</v>
      </c>
      <c r="AF7" s="17">
        <v>0.24</v>
      </c>
      <c r="AN7" s="17" t="s">
        <v>165</v>
      </c>
      <c r="AO7" s="17" t="s">
        <v>160</v>
      </c>
      <c r="AP7" s="19">
        <v>110</v>
      </c>
      <c r="AX7" s="3"/>
      <c r="AY7" s="33"/>
    </row>
    <row r="8" spans="1:51" x14ac:dyDescent="0.25">
      <c r="A8" s="3" t="s">
        <v>36</v>
      </c>
      <c r="B8" s="3">
        <v>6000</v>
      </c>
      <c r="D8" s="7" t="s">
        <v>73</v>
      </c>
      <c r="E8" s="3"/>
      <c r="F8" s="33"/>
      <c r="J8" s="11"/>
      <c r="K8" s="3" t="s">
        <v>20</v>
      </c>
      <c r="L8" s="3"/>
      <c r="M8" s="3"/>
      <c r="N8" s="3" t="s">
        <v>890</v>
      </c>
      <c r="O8" s="3" t="s">
        <v>1034</v>
      </c>
      <c r="P8" s="14"/>
      <c r="Q8" s="14"/>
      <c r="R8" s="14"/>
      <c r="S8" s="3" t="s">
        <v>87</v>
      </c>
      <c r="T8" s="3" t="s">
        <v>20</v>
      </c>
      <c r="U8" s="255" t="s">
        <v>101</v>
      </c>
      <c r="V8" s="3" t="s">
        <v>179</v>
      </c>
      <c r="W8" s="3"/>
      <c r="X8" s="3"/>
      <c r="Y8" s="3"/>
      <c r="AC8" s="17" t="s">
        <v>115</v>
      </c>
      <c r="AD8" s="17" t="s">
        <v>109</v>
      </c>
      <c r="AE8" s="20">
        <v>3040</v>
      </c>
      <c r="AF8" s="17">
        <v>0.24</v>
      </c>
      <c r="AN8" s="17" t="s">
        <v>166</v>
      </c>
      <c r="AO8" s="17" t="s">
        <v>160</v>
      </c>
      <c r="AP8" s="19">
        <v>220</v>
      </c>
      <c r="AX8" s="3"/>
      <c r="AY8" s="33"/>
    </row>
    <row r="9" spans="1:51" x14ac:dyDescent="0.25">
      <c r="A9" s="3" t="s">
        <v>37</v>
      </c>
      <c r="B9" s="3">
        <v>6000</v>
      </c>
      <c r="E9" s="3"/>
      <c r="F9" s="33"/>
      <c r="J9" s="11"/>
      <c r="K9" s="3" t="s">
        <v>74</v>
      </c>
      <c r="L9" s="3"/>
      <c r="M9" s="3"/>
      <c r="N9" s="3" t="s">
        <v>1111</v>
      </c>
      <c r="O9" s="3" t="s">
        <v>662</v>
      </c>
      <c r="P9" s="14"/>
      <c r="Q9" s="14"/>
      <c r="R9" s="14"/>
      <c r="S9" s="3" t="s">
        <v>26</v>
      </c>
      <c r="T9" s="3" t="s">
        <v>98</v>
      </c>
      <c r="U9" s="255" t="s">
        <v>102</v>
      </c>
      <c r="V9" s="3" t="s">
        <v>17</v>
      </c>
      <c r="W9" s="3"/>
      <c r="X9" s="3"/>
      <c r="Y9" s="3"/>
      <c r="AC9" s="17" t="s">
        <v>116</v>
      </c>
      <c r="AD9" s="17" t="s">
        <v>109</v>
      </c>
      <c r="AE9" s="20">
        <v>990</v>
      </c>
      <c r="AF9" s="17">
        <v>0.65</v>
      </c>
      <c r="AN9" s="17" t="s">
        <v>167</v>
      </c>
      <c r="AO9" s="17" t="s">
        <v>158</v>
      </c>
      <c r="AP9" s="19">
        <v>170</v>
      </c>
      <c r="AX9" s="3"/>
      <c r="AY9" s="33"/>
    </row>
    <row r="10" spans="1:51" x14ac:dyDescent="0.25">
      <c r="A10" s="3" t="s">
        <v>38</v>
      </c>
      <c r="B10" s="3">
        <v>3000</v>
      </c>
      <c r="E10" s="3"/>
      <c r="F10" s="33"/>
      <c r="J10" s="11"/>
      <c r="K10" s="3" t="s">
        <v>75</v>
      </c>
      <c r="L10" s="3"/>
      <c r="M10" s="3"/>
      <c r="N10" s="3"/>
      <c r="O10" s="3" t="s">
        <v>1036</v>
      </c>
      <c r="P10" s="14"/>
      <c r="Q10" s="14"/>
      <c r="R10" s="14"/>
      <c r="S10" s="3" t="s">
        <v>191</v>
      </c>
      <c r="T10" s="3"/>
      <c r="U10" s="255"/>
      <c r="V10" s="3"/>
      <c r="W10" s="3"/>
      <c r="X10" s="3"/>
      <c r="Y10" s="3"/>
      <c r="AC10" s="17" t="s">
        <v>117</v>
      </c>
      <c r="AD10" s="17" t="s">
        <v>109</v>
      </c>
      <c r="AE10" s="20">
        <v>1080</v>
      </c>
      <c r="AF10" s="17">
        <v>0.65</v>
      </c>
      <c r="AN10" s="17" t="s">
        <v>168</v>
      </c>
      <c r="AO10" s="17" t="s">
        <v>169</v>
      </c>
      <c r="AP10" s="19">
        <v>1.4999999999999999E-2</v>
      </c>
      <c r="AX10" s="3"/>
      <c r="AY10" s="33"/>
    </row>
    <row r="11" spans="1:51" x14ac:dyDescent="0.25">
      <c r="A11" s="3" t="s">
        <v>39</v>
      </c>
      <c r="B11" s="3">
        <v>4000</v>
      </c>
      <c r="E11" s="3"/>
      <c r="F11" s="33"/>
      <c r="J11" s="11"/>
      <c r="K11" s="3" t="s">
        <v>95</v>
      </c>
      <c r="L11" s="3"/>
      <c r="M11" s="3"/>
      <c r="N11" s="3"/>
      <c r="O11" s="3" t="s">
        <v>874</v>
      </c>
      <c r="P11" s="14"/>
      <c r="Q11" s="14"/>
      <c r="R11" s="14"/>
      <c r="S11" s="3" t="s">
        <v>27</v>
      </c>
      <c r="T11" s="3" t="s">
        <v>1152</v>
      </c>
      <c r="U11" s="255" t="s">
        <v>102</v>
      </c>
      <c r="V11" s="3" t="s">
        <v>17</v>
      </c>
      <c r="W11" s="3"/>
      <c r="X11" s="3"/>
      <c r="Y11" s="3"/>
      <c r="AC11" s="17" t="s">
        <v>118</v>
      </c>
      <c r="AD11" s="17" t="s">
        <v>109</v>
      </c>
      <c r="AE11" s="20">
        <v>950</v>
      </c>
      <c r="AF11" s="17">
        <v>0.65</v>
      </c>
      <c r="AN11" s="17" t="s">
        <v>104</v>
      </c>
      <c r="AO11" s="17" t="s">
        <v>158</v>
      </c>
      <c r="AP11" s="31">
        <v>75</v>
      </c>
      <c r="AX11" s="3"/>
      <c r="AY11" s="33"/>
    </row>
    <row r="12" spans="1:51" x14ac:dyDescent="0.25">
      <c r="A12" s="3" t="s">
        <v>40</v>
      </c>
      <c r="B12" s="3">
        <v>6000</v>
      </c>
      <c r="E12" s="3"/>
      <c r="F12" s="33"/>
      <c r="J12" s="11"/>
      <c r="K12" s="3" t="s">
        <v>96</v>
      </c>
      <c r="L12" s="3"/>
      <c r="M12" s="3"/>
      <c r="N12" s="3"/>
      <c r="O12" s="3" t="s">
        <v>821</v>
      </c>
      <c r="P12" s="14"/>
      <c r="Q12" s="14"/>
      <c r="R12" s="14"/>
      <c r="S12" s="3" t="s">
        <v>23</v>
      </c>
      <c r="T12" s="3" t="s">
        <v>20</v>
      </c>
      <c r="U12" s="255" t="s">
        <v>102</v>
      </c>
      <c r="V12" s="3" t="s">
        <v>179</v>
      </c>
      <c r="W12" s="3"/>
      <c r="X12" s="3"/>
      <c r="Y12" s="3"/>
      <c r="AC12" s="17" t="s">
        <v>119</v>
      </c>
      <c r="AD12" s="17" t="s">
        <v>109</v>
      </c>
      <c r="AE12" s="20">
        <v>800</v>
      </c>
      <c r="AF12" s="17">
        <v>0.65</v>
      </c>
      <c r="AN12" s="17" t="s">
        <v>170</v>
      </c>
      <c r="AO12" s="17" t="s">
        <v>171</v>
      </c>
      <c r="AP12" s="17">
        <v>4200</v>
      </c>
      <c r="AX12" s="3"/>
      <c r="AY12" s="33"/>
    </row>
    <row r="13" spans="1:51" x14ac:dyDescent="0.25">
      <c r="A13" s="3" t="s">
        <v>41</v>
      </c>
      <c r="B13" s="3">
        <v>6000</v>
      </c>
      <c r="E13" s="3"/>
      <c r="F13" s="33"/>
      <c r="J13" s="11"/>
      <c r="K13" s="3" t="s">
        <v>98</v>
      </c>
      <c r="L13" s="3"/>
      <c r="M13" s="3"/>
      <c r="N13" s="3"/>
      <c r="O13" s="3" t="s">
        <v>671</v>
      </c>
      <c r="P13" s="14"/>
      <c r="Q13" s="14"/>
      <c r="R13" s="14"/>
      <c r="S13" s="3" t="s">
        <v>82</v>
      </c>
      <c r="T13" s="3" t="s">
        <v>97</v>
      </c>
      <c r="U13" s="255" t="s">
        <v>102</v>
      </c>
      <c r="V13" s="3" t="s">
        <v>17</v>
      </c>
      <c r="W13" s="3"/>
      <c r="X13" s="3"/>
      <c r="Y13" s="3"/>
      <c r="AC13" s="17" t="s">
        <v>120</v>
      </c>
      <c r="AD13" s="17" t="s">
        <v>109</v>
      </c>
      <c r="AE13" s="20">
        <v>1600</v>
      </c>
      <c r="AF13" s="17">
        <v>0.622</v>
      </c>
      <c r="AN13" s="17" t="s">
        <v>172</v>
      </c>
      <c r="AO13" s="17" t="s">
        <v>171</v>
      </c>
      <c r="AP13" s="17">
        <v>2000</v>
      </c>
      <c r="AX13" s="3"/>
      <c r="AY13" s="33"/>
    </row>
    <row r="14" spans="1:51" x14ac:dyDescent="0.25">
      <c r="A14" s="3" t="s">
        <v>42</v>
      </c>
      <c r="B14" s="3">
        <v>6000</v>
      </c>
      <c r="E14" s="3"/>
      <c r="F14" s="33"/>
      <c r="K14" s="3" t="s">
        <v>97</v>
      </c>
      <c r="L14" s="3"/>
      <c r="M14" s="3"/>
      <c r="N14" s="3"/>
      <c r="O14" s="3" t="s">
        <v>677</v>
      </c>
      <c r="P14" s="14"/>
      <c r="Q14" s="14"/>
      <c r="R14" s="14"/>
      <c r="S14" s="3" t="s">
        <v>192</v>
      </c>
      <c r="T14" s="3" t="s">
        <v>1152</v>
      </c>
      <c r="U14" s="255" t="s">
        <v>101</v>
      </c>
      <c r="V14" s="3" t="s">
        <v>17</v>
      </c>
      <c r="W14" s="3"/>
      <c r="X14" s="3"/>
      <c r="Y14" s="3"/>
      <c r="AC14" s="17" t="s">
        <v>121</v>
      </c>
      <c r="AD14" s="17" t="s">
        <v>109</v>
      </c>
      <c r="AE14" s="20">
        <v>2225</v>
      </c>
      <c r="AF14" s="17">
        <v>0.58099999999999996</v>
      </c>
      <c r="AN14" s="17" t="s">
        <v>173</v>
      </c>
      <c r="AO14" s="17" t="s">
        <v>171</v>
      </c>
      <c r="AP14" s="17">
        <v>5000</v>
      </c>
      <c r="AX14" s="3"/>
      <c r="AY14" s="33"/>
    </row>
    <row r="15" spans="1:51" x14ac:dyDescent="0.25">
      <c r="A15" s="3" t="s">
        <v>43</v>
      </c>
      <c r="B15" s="3">
        <v>6000</v>
      </c>
      <c r="E15" s="3"/>
      <c r="F15" s="33"/>
      <c r="K15" s="3"/>
      <c r="L15" s="3"/>
      <c r="M15" s="3"/>
      <c r="N15" s="3"/>
      <c r="O15" s="3" t="s">
        <v>686</v>
      </c>
      <c r="P15" s="14"/>
      <c r="Q15" s="14"/>
      <c r="R15" s="14"/>
      <c r="S15" s="3" t="s">
        <v>78</v>
      </c>
      <c r="T15" s="3" t="s">
        <v>97</v>
      </c>
      <c r="U15" s="255" t="s">
        <v>102</v>
      </c>
      <c r="V15" s="3" t="s">
        <v>17</v>
      </c>
      <c r="W15" s="3"/>
      <c r="X15" s="3"/>
      <c r="Y15" s="3"/>
      <c r="AC15" s="17" t="s">
        <v>122</v>
      </c>
      <c r="AD15" s="17" t="s">
        <v>109</v>
      </c>
      <c r="AE15" s="17">
        <v>262.37</v>
      </c>
      <c r="AF15" s="17"/>
      <c r="AN15" s="17" t="s">
        <v>174</v>
      </c>
      <c r="AO15" s="17" t="s">
        <v>171</v>
      </c>
      <c r="AP15" s="32" t="str">
        <f>IF(AI28&gt;=6000,"25000","15000")</f>
        <v>15000</v>
      </c>
      <c r="AX15" s="3"/>
      <c r="AY15" s="33"/>
    </row>
    <row r="16" spans="1:51" ht="15" customHeight="1" x14ac:dyDescent="0.25">
      <c r="A16" s="3" t="s">
        <v>44</v>
      </c>
      <c r="B16" s="3">
        <v>6000</v>
      </c>
      <c r="E16" s="3"/>
      <c r="F16" s="33"/>
      <c r="K16" s="3"/>
      <c r="L16" s="3"/>
      <c r="M16" s="3"/>
      <c r="N16" s="3"/>
      <c r="O16" s="3" t="s">
        <v>695</v>
      </c>
      <c r="P16" s="14"/>
      <c r="Q16" s="14"/>
      <c r="R16" s="14"/>
      <c r="S16" s="3" t="s">
        <v>80</v>
      </c>
      <c r="T16" s="3" t="s">
        <v>97</v>
      </c>
      <c r="U16" s="255" t="s">
        <v>102</v>
      </c>
      <c r="V16" s="3" t="s">
        <v>17</v>
      </c>
      <c r="W16" s="3"/>
      <c r="X16" s="3"/>
      <c r="Y16" s="3"/>
      <c r="AC16" s="17" t="s">
        <v>123</v>
      </c>
      <c r="AD16" s="17" t="s">
        <v>109</v>
      </c>
      <c r="AE16" s="17">
        <v>131.18</v>
      </c>
      <c r="AF16" s="17"/>
      <c r="AN16" s="17" t="s">
        <v>175</v>
      </c>
      <c r="AO16" s="17" t="s">
        <v>171</v>
      </c>
      <c r="AP16" s="17">
        <v>3000</v>
      </c>
      <c r="AX16" s="3"/>
      <c r="AY16" s="33"/>
    </row>
    <row r="17" spans="1:51" x14ac:dyDescent="0.25">
      <c r="A17" s="3" t="s">
        <v>45</v>
      </c>
      <c r="B17" s="3">
        <v>6000</v>
      </c>
      <c r="E17" s="3"/>
      <c r="F17" s="33"/>
      <c r="K17" s="3"/>
      <c r="L17" s="3"/>
      <c r="M17" s="3"/>
      <c r="N17" s="3"/>
      <c r="O17" s="3" t="s">
        <v>574</v>
      </c>
      <c r="P17" s="14"/>
      <c r="Q17" s="14"/>
      <c r="R17" s="14"/>
      <c r="S17" s="3" t="s">
        <v>193</v>
      </c>
      <c r="T17" s="3" t="s">
        <v>20</v>
      </c>
      <c r="U17" s="255" t="s">
        <v>102</v>
      </c>
      <c r="V17" s="3" t="s">
        <v>179</v>
      </c>
      <c r="W17" s="3"/>
      <c r="X17" s="3"/>
      <c r="Y17" s="3"/>
      <c r="AC17" s="17" t="s">
        <v>124</v>
      </c>
      <c r="AD17" s="17" t="s">
        <v>109</v>
      </c>
      <c r="AE17" s="17">
        <v>358.7</v>
      </c>
      <c r="AF17" s="17"/>
      <c r="AN17" s="17" t="s">
        <v>176</v>
      </c>
      <c r="AO17" s="17" t="s">
        <v>171</v>
      </c>
      <c r="AP17" s="17">
        <v>6000</v>
      </c>
      <c r="AX17" s="3"/>
      <c r="AY17" s="33"/>
    </row>
    <row r="18" spans="1:51" ht="15" customHeight="1" x14ac:dyDescent="0.25">
      <c r="A18" s="3" t="s">
        <v>46</v>
      </c>
      <c r="B18" s="3">
        <v>6000</v>
      </c>
      <c r="E18" s="3"/>
      <c r="F18" s="33"/>
      <c r="K18" s="3"/>
      <c r="L18" s="3"/>
      <c r="M18" s="3"/>
      <c r="N18" s="3"/>
      <c r="O18" s="3" t="s">
        <v>617</v>
      </c>
      <c r="P18" s="14"/>
      <c r="Q18" s="14"/>
      <c r="R18" s="14"/>
      <c r="S18" s="3" t="s">
        <v>79</v>
      </c>
      <c r="T18" s="3" t="s">
        <v>97</v>
      </c>
      <c r="U18" s="255" t="s">
        <v>102</v>
      </c>
      <c r="V18" s="3" t="s">
        <v>17</v>
      </c>
      <c r="W18" s="3"/>
      <c r="X18" s="3"/>
      <c r="Y18" s="3"/>
      <c r="AC18" s="17" t="s">
        <v>125</v>
      </c>
      <c r="AD18" s="17" t="s">
        <v>109</v>
      </c>
      <c r="AE18" s="17">
        <v>179.3</v>
      </c>
      <c r="AF18" s="17"/>
      <c r="AX18" s="3"/>
      <c r="AY18" s="33"/>
    </row>
    <row r="19" spans="1:51" x14ac:dyDescent="0.25">
      <c r="A19" s="3" t="s">
        <v>47</v>
      </c>
      <c r="B19" s="3">
        <v>6000</v>
      </c>
      <c r="E19" s="3"/>
      <c r="F19" s="33"/>
      <c r="K19" s="3"/>
      <c r="L19" s="3"/>
      <c r="M19" s="3"/>
      <c r="N19" s="3"/>
      <c r="O19" s="3" t="s">
        <v>633</v>
      </c>
      <c r="P19" s="14"/>
      <c r="Q19" s="14"/>
      <c r="R19" s="14"/>
      <c r="S19" s="3" t="s">
        <v>28</v>
      </c>
      <c r="T19" s="3" t="s">
        <v>1152</v>
      </c>
      <c r="U19" s="255" t="s">
        <v>102</v>
      </c>
      <c r="V19" s="3" t="s">
        <v>17</v>
      </c>
      <c r="W19" s="3"/>
      <c r="X19" s="3"/>
      <c r="Y19" s="3"/>
      <c r="AC19" s="17" t="s">
        <v>126</v>
      </c>
      <c r="AD19" s="17" t="s">
        <v>109</v>
      </c>
      <c r="AE19" s="17">
        <v>196.8</v>
      </c>
      <c r="AF19" s="17"/>
      <c r="AX19" s="3"/>
      <c r="AY19" s="33"/>
    </row>
    <row r="20" spans="1:51" x14ac:dyDescent="0.25">
      <c r="A20" s="3" t="s">
        <v>48</v>
      </c>
      <c r="B20" s="3">
        <v>6000</v>
      </c>
      <c r="E20" s="3"/>
      <c r="F20" s="33"/>
      <c r="K20" s="3"/>
      <c r="L20" s="3"/>
      <c r="M20" s="3"/>
      <c r="N20" s="3"/>
      <c r="O20" s="3" t="s">
        <v>833</v>
      </c>
      <c r="P20" s="14"/>
      <c r="Q20" s="14"/>
      <c r="R20" s="14"/>
      <c r="S20" s="3" t="s">
        <v>22</v>
      </c>
      <c r="T20" s="3" t="s">
        <v>1152</v>
      </c>
      <c r="U20" s="255" t="s">
        <v>102</v>
      </c>
      <c r="V20" s="3" t="s">
        <v>17</v>
      </c>
      <c r="W20" s="3"/>
      <c r="X20" s="3"/>
      <c r="Y20" s="3"/>
      <c r="AC20" s="17" t="s">
        <v>127</v>
      </c>
      <c r="AD20" s="17" t="s">
        <v>109</v>
      </c>
      <c r="AE20" s="17">
        <v>98.4</v>
      </c>
      <c r="AF20" s="17"/>
      <c r="AX20" s="3"/>
      <c r="AY20" s="33"/>
    </row>
    <row r="21" spans="1:51" x14ac:dyDescent="0.25">
      <c r="A21" s="3" t="s">
        <v>49</v>
      </c>
      <c r="B21" s="3">
        <v>6000</v>
      </c>
      <c r="E21" s="3"/>
      <c r="F21" s="33"/>
      <c r="K21" s="3"/>
      <c r="L21" s="3"/>
      <c r="M21" s="3"/>
      <c r="N21" s="3"/>
      <c r="O21" s="3" t="s">
        <v>655</v>
      </c>
      <c r="P21" s="14"/>
      <c r="Q21" s="14"/>
      <c r="R21" s="14"/>
      <c r="S21" s="3" t="s">
        <v>90</v>
      </c>
      <c r="T21" s="3" t="s">
        <v>14</v>
      </c>
      <c r="U21" s="255" t="s">
        <v>102</v>
      </c>
      <c r="V21" s="3" t="s">
        <v>179</v>
      </c>
      <c r="W21" s="3"/>
      <c r="X21" s="3"/>
      <c r="Y21" s="3"/>
      <c r="AC21" s="17" t="s">
        <v>128</v>
      </c>
      <c r="AD21" s="17" t="s">
        <v>109</v>
      </c>
      <c r="AE21" s="17">
        <v>69.94</v>
      </c>
      <c r="AF21" s="17"/>
      <c r="AX21" s="3"/>
      <c r="AY21" s="33"/>
    </row>
    <row r="22" spans="1:51" x14ac:dyDescent="0.25">
      <c r="A22" s="3" t="s">
        <v>50</v>
      </c>
      <c r="B22" s="3">
        <v>6000</v>
      </c>
      <c r="E22" s="3"/>
      <c r="F22" s="33"/>
      <c r="K22" s="3"/>
      <c r="L22" s="3"/>
      <c r="M22" s="3"/>
      <c r="N22" s="3"/>
      <c r="O22" s="3" t="s">
        <v>784</v>
      </c>
      <c r="P22" s="14"/>
      <c r="Q22" s="14"/>
      <c r="R22" s="14"/>
      <c r="S22" s="3" t="s">
        <v>194</v>
      </c>
      <c r="T22" s="3" t="s">
        <v>1152</v>
      </c>
      <c r="U22" s="255" t="s">
        <v>102</v>
      </c>
      <c r="V22" s="3" t="s">
        <v>17</v>
      </c>
      <c r="W22" s="3"/>
      <c r="X22" s="3"/>
      <c r="Y22" s="3"/>
      <c r="AC22" s="17" t="s">
        <v>129</v>
      </c>
      <c r="AD22" s="17" t="s">
        <v>109</v>
      </c>
      <c r="AE22" s="17">
        <v>2.67</v>
      </c>
      <c r="AF22" s="17"/>
      <c r="AX22" s="3"/>
      <c r="AY22" s="33"/>
    </row>
    <row r="23" spans="1:51" x14ac:dyDescent="0.25">
      <c r="A23" s="3" t="s">
        <v>51</v>
      </c>
      <c r="B23" s="3">
        <v>6000</v>
      </c>
      <c r="E23" s="3"/>
      <c r="F23" s="33"/>
      <c r="K23" s="3"/>
      <c r="L23" s="3"/>
      <c r="M23" s="3"/>
      <c r="N23" s="3"/>
      <c r="O23" s="3" t="s">
        <v>794</v>
      </c>
      <c r="P23" s="14"/>
      <c r="Q23" s="14"/>
      <c r="R23" s="14"/>
      <c r="S23" s="3" t="s">
        <v>25</v>
      </c>
      <c r="T23" s="3" t="s">
        <v>20</v>
      </c>
      <c r="U23" s="255" t="s">
        <v>102</v>
      </c>
      <c r="V23" s="3" t="s">
        <v>179</v>
      </c>
      <c r="W23" s="3"/>
      <c r="X23" s="3"/>
      <c r="Y23" s="3"/>
      <c r="AC23" s="17" t="s">
        <v>130</v>
      </c>
      <c r="AD23" s="17" t="s">
        <v>109</v>
      </c>
      <c r="AE23" s="17">
        <v>1.79</v>
      </c>
      <c r="AF23" s="17"/>
      <c r="AX23" s="3"/>
      <c r="AY23" s="33"/>
    </row>
    <row r="24" spans="1:51" x14ac:dyDescent="0.25">
      <c r="A24" s="3" t="s">
        <v>52</v>
      </c>
      <c r="B24" s="3">
        <v>6000</v>
      </c>
      <c r="E24" s="3"/>
      <c r="F24" s="33"/>
      <c r="K24" s="3"/>
      <c r="L24" s="3"/>
      <c r="M24" s="3"/>
      <c r="N24" s="3"/>
      <c r="O24" s="3" t="s">
        <v>218</v>
      </c>
      <c r="P24" s="14"/>
      <c r="Q24" s="14"/>
      <c r="R24" s="14"/>
      <c r="S24" s="3" t="s">
        <v>21</v>
      </c>
      <c r="T24" s="3" t="s">
        <v>14</v>
      </c>
      <c r="U24" s="255" t="s">
        <v>102</v>
      </c>
      <c r="V24" s="3" t="s">
        <v>179</v>
      </c>
      <c r="W24" s="3"/>
      <c r="X24" s="3"/>
      <c r="Y24" s="3"/>
      <c r="AC24" s="17" t="s">
        <v>131</v>
      </c>
      <c r="AD24" s="17" t="s">
        <v>109</v>
      </c>
      <c r="AE24" s="17">
        <v>0.98</v>
      </c>
      <c r="AF24" s="17"/>
      <c r="AX24" s="3"/>
      <c r="AY24" s="33"/>
    </row>
    <row r="25" spans="1:51" x14ac:dyDescent="0.25">
      <c r="A25" s="3" t="s">
        <v>53</v>
      </c>
      <c r="B25" s="3">
        <v>12000</v>
      </c>
      <c r="E25" s="3"/>
      <c r="F25" s="33"/>
      <c r="K25" s="3"/>
      <c r="L25" s="3"/>
      <c r="M25" s="3"/>
      <c r="N25" s="3"/>
      <c r="O25" s="3" t="s">
        <v>1086</v>
      </c>
      <c r="P25" s="14"/>
      <c r="Q25" s="14"/>
      <c r="R25" s="14"/>
      <c r="S25" s="3" t="s">
        <v>84</v>
      </c>
      <c r="T25" s="3" t="s">
        <v>14</v>
      </c>
      <c r="U25" s="255" t="s">
        <v>102</v>
      </c>
      <c r="V25" s="3" t="s">
        <v>179</v>
      </c>
      <c r="W25" s="3"/>
      <c r="X25" s="3"/>
      <c r="Y25" s="3"/>
      <c r="AC25" s="17" t="s">
        <v>132</v>
      </c>
      <c r="AD25" s="17" t="s">
        <v>109</v>
      </c>
      <c r="AE25" s="21">
        <v>15</v>
      </c>
      <c r="AF25" s="17"/>
      <c r="AX25" s="3"/>
      <c r="AY25" s="33"/>
    </row>
    <row r="26" spans="1:51" x14ac:dyDescent="0.25">
      <c r="A26" s="3" t="s">
        <v>54</v>
      </c>
      <c r="B26" s="3">
        <v>12000</v>
      </c>
      <c r="E26" s="3"/>
      <c r="F26" s="33"/>
      <c r="K26" s="3"/>
      <c r="L26" s="3"/>
      <c r="M26" s="3"/>
      <c r="N26" s="3"/>
      <c r="O26" s="3" t="s">
        <v>1101</v>
      </c>
      <c r="P26" s="14"/>
      <c r="Q26" s="14"/>
      <c r="R26" s="14"/>
      <c r="S26" s="3" t="s">
        <v>83</v>
      </c>
      <c r="T26" s="3" t="s">
        <v>14</v>
      </c>
      <c r="U26" s="255" t="s">
        <v>102</v>
      </c>
      <c r="V26" s="3" t="s">
        <v>179</v>
      </c>
      <c r="W26" s="3"/>
      <c r="X26" s="3"/>
      <c r="Y26" s="3"/>
      <c r="AC26" s="22" t="s">
        <v>133</v>
      </c>
      <c r="AD26" s="22" t="s">
        <v>109</v>
      </c>
      <c r="AE26" s="22">
        <v>1.59</v>
      </c>
      <c r="AF26" s="22"/>
      <c r="AX26" s="3"/>
      <c r="AY26" s="33"/>
    </row>
    <row r="27" spans="1:51" ht="15" customHeight="1" x14ac:dyDescent="0.25">
      <c r="A27" s="3" t="s">
        <v>55</v>
      </c>
      <c r="B27" s="3">
        <v>12000</v>
      </c>
      <c r="E27" s="3"/>
      <c r="F27" s="33"/>
      <c r="K27" s="3"/>
      <c r="L27" s="3"/>
      <c r="M27" s="3"/>
      <c r="N27" s="3"/>
      <c r="O27" s="3" t="s">
        <v>849</v>
      </c>
      <c r="P27" s="14"/>
      <c r="Q27" s="14"/>
      <c r="R27" s="14"/>
      <c r="S27" s="3" t="s">
        <v>85</v>
      </c>
      <c r="T27" s="3" t="s">
        <v>14</v>
      </c>
      <c r="U27" s="255" t="s">
        <v>102</v>
      </c>
      <c r="V27" s="3" t="s">
        <v>179</v>
      </c>
      <c r="W27" s="3"/>
      <c r="X27" s="3"/>
      <c r="Y27" s="3"/>
      <c r="AC27" s="22" t="s">
        <v>134</v>
      </c>
      <c r="AD27" s="22" t="s">
        <v>109</v>
      </c>
      <c r="AE27" s="22">
        <v>0.65</v>
      </c>
      <c r="AF27" s="23"/>
      <c r="AX27" s="3"/>
      <c r="AY27" s="33"/>
    </row>
    <row r="28" spans="1:51" x14ac:dyDescent="0.25">
      <c r="A28" s="3" t="s">
        <v>56</v>
      </c>
      <c r="B28" s="3">
        <v>12000</v>
      </c>
      <c r="E28" s="3"/>
      <c r="F28" s="33"/>
      <c r="K28" s="3"/>
      <c r="L28" s="3"/>
      <c r="M28" s="3"/>
      <c r="N28" s="3"/>
      <c r="O28" s="3" t="s">
        <v>613</v>
      </c>
      <c r="P28" s="14"/>
      <c r="Q28" s="14"/>
      <c r="R28" s="14"/>
      <c r="S28" s="3" t="s">
        <v>86</v>
      </c>
      <c r="T28" s="3" t="s">
        <v>14</v>
      </c>
      <c r="U28" s="255" t="s">
        <v>102</v>
      </c>
      <c r="V28" s="3" t="s">
        <v>179</v>
      </c>
      <c r="W28" s="3"/>
      <c r="X28" s="3"/>
      <c r="Y28" s="3"/>
      <c r="AC28" s="24" t="s">
        <v>135</v>
      </c>
      <c r="AD28" s="24" t="s">
        <v>109</v>
      </c>
      <c r="AE28" s="24">
        <v>0.435</v>
      </c>
      <c r="AF28" s="25"/>
      <c r="AX28" s="3"/>
      <c r="AY28" s="33"/>
    </row>
    <row r="29" spans="1:51" x14ac:dyDescent="0.25">
      <c r="A29" s="3" t="s">
        <v>57</v>
      </c>
      <c r="B29" s="3">
        <v>12000</v>
      </c>
      <c r="E29" s="3"/>
      <c r="F29" s="33"/>
      <c r="K29" s="3"/>
      <c r="L29" s="3"/>
      <c r="M29" s="3"/>
      <c r="N29" s="3"/>
      <c r="O29" s="3" t="s">
        <v>998</v>
      </c>
      <c r="P29" s="14"/>
      <c r="Q29" s="14"/>
      <c r="R29" s="14"/>
      <c r="S29" s="3" t="s">
        <v>92</v>
      </c>
      <c r="T29" s="3" t="s">
        <v>14</v>
      </c>
      <c r="U29" s="255" t="s">
        <v>102</v>
      </c>
      <c r="V29" s="3" t="s">
        <v>179</v>
      </c>
      <c r="W29" s="3"/>
      <c r="X29" s="3"/>
      <c r="Y29" s="3"/>
      <c r="AC29" s="26" t="s">
        <v>136</v>
      </c>
      <c r="AD29" s="26" t="s">
        <v>109</v>
      </c>
      <c r="AE29" s="26">
        <v>80</v>
      </c>
      <c r="AF29" s="26"/>
      <c r="AX29" s="3"/>
      <c r="AY29" s="33"/>
    </row>
    <row r="30" spans="1:51" x14ac:dyDescent="0.25">
      <c r="A30" s="3" t="s">
        <v>58</v>
      </c>
      <c r="B30" s="3">
        <v>12000</v>
      </c>
      <c r="E30" s="3"/>
      <c r="F30" s="33"/>
      <c r="K30" s="3"/>
      <c r="L30" s="3"/>
      <c r="M30" s="3"/>
      <c r="N30" s="3"/>
      <c r="O30" s="3" t="s">
        <v>1112</v>
      </c>
      <c r="P30" s="14"/>
      <c r="Q30" s="14"/>
      <c r="R30" s="14"/>
      <c r="S30" s="3" t="s">
        <v>88</v>
      </c>
      <c r="T30" s="3" t="s">
        <v>96</v>
      </c>
      <c r="U30" s="255" t="s">
        <v>101</v>
      </c>
      <c r="V30" s="3" t="s">
        <v>179</v>
      </c>
      <c r="W30" s="3"/>
      <c r="X30" s="3"/>
      <c r="Y30" s="3"/>
      <c r="AC30" s="17" t="s">
        <v>137</v>
      </c>
      <c r="AD30" s="17" t="s">
        <v>109</v>
      </c>
      <c r="AE30" s="17">
        <v>5.1999999999999998E-2</v>
      </c>
      <c r="AF30" s="17"/>
      <c r="AX30" s="3"/>
      <c r="AY30" s="33"/>
    </row>
    <row r="31" spans="1:51" x14ac:dyDescent="0.25">
      <c r="A31" s="3" t="s">
        <v>59</v>
      </c>
      <c r="B31" s="3">
        <v>12000</v>
      </c>
      <c r="E31" s="3"/>
      <c r="F31" s="33"/>
      <c r="K31" s="3"/>
      <c r="L31" s="3"/>
      <c r="M31" s="3"/>
      <c r="N31" s="3"/>
      <c r="O31" s="3" t="s">
        <v>1117</v>
      </c>
      <c r="P31" s="14"/>
      <c r="Q31" s="14"/>
      <c r="R31" s="14"/>
      <c r="S31" s="3" t="s">
        <v>81</v>
      </c>
      <c r="T31" s="3" t="s">
        <v>74</v>
      </c>
      <c r="U31" s="255" t="s">
        <v>101</v>
      </c>
      <c r="V31" s="3" t="s">
        <v>179</v>
      </c>
      <c r="W31" s="3"/>
      <c r="X31" s="3"/>
      <c r="Y31" s="3"/>
      <c r="AC31" s="17" t="s">
        <v>138</v>
      </c>
      <c r="AD31" s="17" t="s">
        <v>109</v>
      </c>
      <c r="AE31" s="17">
        <v>82.2</v>
      </c>
      <c r="AF31" s="17"/>
      <c r="AX31" s="3"/>
      <c r="AY31" s="33"/>
    </row>
    <row r="32" spans="1:51" x14ac:dyDescent="0.25">
      <c r="A32" s="3" t="s">
        <v>60</v>
      </c>
      <c r="B32" s="3">
        <v>12000</v>
      </c>
      <c r="E32" s="3"/>
      <c r="F32" s="33"/>
      <c r="K32" s="3"/>
      <c r="L32" s="3"/>
      <c r="M32" s="3"/>
      <c r="N32" s="3"/>
      <c r="O32" s="3"/>
      <c r="P32" s="14"/>
      <c r="Q32" s="14"/>
      <c r="R32" s="14"/>
      <c r="S32" s="3" t="s">
        <v>77</v>
      </c>
      <c r="T32" s="3" t="s">
        <v>74</v>
      </c>
      <c r="U32" s="255" t="s">
        <v>101</v>
      </c>
      <c r="V32" s="3" t="s">
        <v>179</v>
      </c>
      <c r="W32" s="3"/>
      <c r="X32" s="3"/>
      <c r="Y32" s="3"/>
      <c r="AC32" s="17" t="s">
        <v>139</v>
      </c>
      <c r="AD32" s="17" t="s">
        <v>109</v>
      </c>
      <c r="AE32" s="17">
        <v>108.76</v>
      </c>
      <c r="AF32" s="17"/>
      <c r="AX32" s="3"/>
      <c r="AY32" s="33"/>
    </row>
    <row r="33" spans="1:32" x14ac:dyDescent="0.25">
      <c r="A33" s="3" t="s">
        <v>61</v>
      </c>
      <c r="B33" s="3">
        <v>12000</v>
      </c>
      <c r="N33"/>
      <c r="O33"/>
      <c r="S33" s="3" t="s">
        <v>195</v>
      </c>
      <c r="T33" s="3"/>
      <c r="U33" s="263"/>
      <c r="V33" s="3"/>
      <c r="W33" s="3"/>
      <c r="X33" s="3"/>
      <c r="Y33" s="3"/>
      <c r="AC33" s="17" t="s">
        <v>18</v>
      </c>
      <c r="AD33" s="17" t="s">
        <v>109</v>
      </c>
      <c r="AE33" s="17">
        <v>65000</v>
      </c>
      <c r="AF33" s="17"/>
    </row>
    <row r="34" spans="1:32" x14ac:dyDescent="0.25">
      <c r="A34" s="3" t="s">
        <v>62</v>
      </c>
      <c r="B34" s="3">
        <v>12000</v>
      </c>
      <c r="N34"/>
      <c r="O34"/>
      <c r="S34" s="3" t="s">
        <v>196</v>
      </c>
      <c r="T34" s="3" t="s">
        <v>75</v>
      </c>
      <c r="U34" s="263" t="s">
        <v>102</v>
      </c>
      <c r="V34" s="3" t="s">
        <v>17</v>
      </c>
      <c r="W34" s="3"/>
      <c r="X34" s="3"/>
      <c r="Y34" s="3"/>
      <c r="AC34" s="17" t="s">
        <v>140</v>
      </c>
      <c r="AD34" s="17" t="s">
        <v>109</v>
      </c>
      <c r="AE34" s="17">
        <v>25700</v>
      </c>
      <c r="AF34" s="17">
        <v>0.55000000000000004</v>
      </c>
    </row>
    <row r="35" spans="1:32" x14ac:dyDescent="0.25">
      <c r="A35" s="3" t="s">
        <v>63</v>
      </c>
      <c r="B35" s="3">
        <v>12000</v>
      </c>
      <c r="N35"/>
      <c r="O35"/>
      <c r="S35" s="3" t="s">
        <v>197</v>
      </c>
      <c r="T35" s="3"/>
      <c r="U35" s="263"/>
      <c r="V35" s="3"/>
      <c r="W35" s="3"/>
      <c r="X35" s="3"/>
      <c r="Y35" s="3"/>
      <c r="AC35" s="17" t="s">
        <v>141</v>
      </c>
      <c r="AD35" s="17" t="s">
        <v>109</v>
      </c>
      <c r="AE35" s="17">
        <v>26200</v>
      </c>
      <c r="AF35" s="17">
        <v>0.55000000000000004</v>
      </c>
    </row>
    <row r="36" spans="1:32" x14ac:dyDescent="0.25">
      <c r="A36" s="3" t="s">
        <v>64</v>
      </c>
      <c r="B36" s="3">
        <v>12000</v>
      </c>
      <c r="N36"/>
      <c r="O36"/>
      <c r="S36" s="3" t="s">
        <v>198</v>
      </c>
      <c r="T36" s="3"/>
      <c r="U36" s="263"/>
      <c r="V36" s="3"/>
      <c r="W36" s="3"/>
      <c r="X36" s="3"/>
      <c r="Y36" s="3"/>
      <c r="AC36" s="17" t="s">
        <v>142</v>
      </c>
      <c r="AD36" s="17" t="s">
        <v>109</v>
      </c>
      <c r="AE36" s="17">
        <v>31950</v>
      </c>
      <c r="AF36" s="17">
        <v>0.55000000000000004</v>
      </c>
    </row>
    <row r="37" spans="1:32" x14ac:dyDescent="0.25">
      <c r="A37" s="3" t="s">
        <v>65</v>
      </c>
      <c r="B37" s="3">
        <v>12000</v>
      </c>
      <c r="N37"/>
      <c r="O37"/>
      <c r="S37" s="3" t="s">
        <v>199</v>
      </c>
      <c r="T37" s="3"/>
      <c r="U37" s="263"/>
      <c r="V37" s="3"/>
      <c r="W37" s="3"/>
      <c r="X37" s="3"/>
      <c r="Y37" s="3"/>
      <c r="AC37" s="17" t="s">
        <v>143</v>
      </c>
      <c r="AD37" s="17" t="s">
        <v>109</v>
      </c>
      <c r="AE37" s="17">
        <v>31000</v>
      </c>
      <c r="AF37" s="17">
        <v>0.55000000000000004</v>
      </c>
    </row>
    <row r="38" spans="1:32" x14ac:dyDescent="0.25">
      <c r="A38" s="3" t="s">
        <v>66</v>
      </c>
      <c r="B38" s="3">
        <v>12000</v>
      </c>
      <c r="N38"/>
      <c r="O38"/>
      <c r="S38" s="3" t="s">
        <v>200</v>
      </c>
      <c r="T38" s="3"/>
      <c r="U38" s="263"/>
      <c r="V38" s="3"/>
      <c r="W38" s="3"/>
      <c r="X38" s="3"/>
      <c r="Y38" s="3"/>
      <c r="AC38" s="17" t="s">
        <v>144</v>
      </c>
      <c r="AD38" s="17" t="s">
        <v>109</v>
      </c>
      <c r="AE38" s="17">
        <v>30500</v>
      </c>
      <c r="AF38" s="17">
        <v>0.55000000000000004</v>
      </c>
    </row>
    <row r="39" spans="1:32" x14ac:dyDescent="0.25">
      <c r="A39" s="3" t="s">
        <v>67</v>
      </c>
      <c r="B39" s="3">
        <v>12000</v>
      </c>
      <c r="N39"/>
      <c r="O39"/>
      <c r="S39" s="3"/>
      <c r="T39" s="3"/>
      <c r="U39" s="263"/>
      <c r="V39" s="3"/>
      <c r="W39" s="3"/>
      <c r="X39" s="3"/>
      <c r="Y39" s="3"/>
      <c r="AC39" s="17" t="s">
        <v>145</v>
      </c>
      <c r="AD39" s="17" t="s">
        <v>109</v>
      </c>
      <c r="AE39" s="17">
        <v>28800</v>
      </c>
      <c r="AF39" s="17">
        <v>0.55000000000000004</v>
      </c>
    </row>
    <row r="40" spans="1:32" x14ac:dyDescent="0.25">
      <c r="A40" s="3" t="s">
        <v>68</v>
      </c>
      <c r="B40" s="3">
        <v>12000</v>
      </c>
      <c r="N40"/>
      <c r="O40"/>
      <c r="S40" s="3"/>
      <c r="T40" s="3"/>
      <c r="U40" s="263"/>
      <c r="V40" s="3"/>
      <c r="W40" s="3"/>
      <c r="X40" s="3"/>
      <c r="Y40" s="3"/>
      <c r="AC40" s="17" t="s">
        <v>146</v>
      </c>
      <c r="AD40" s="17" t="s">
        <v>109</v>
      </c>
      <c r="AE40" s="17">
        <v>28600</v>
      </c>
      <c r="AF40" s="17">
        <v>0.55000000000000004</v>
      </c>
    </row>
    <row r="41" spans="1:32" x14ac:dyDescent="0.25">
      <c r="A41" s="3" t="s">
        <v>69</v>
      </c>
      <c r="B41" s="3">
        <v>12000</v>
      </c>
      <c r="N41"/>
      <c r="O41"/>
      <c r="S41" s="3"/>
      <c r="T41" s="3"/>
      <c r="U41" s="263"/>
      <c r="V41" s="3"/>
      <c r="W41" s="3"/>
      <c r="X41" s="3"/>
      <c r="Y41" s="3"/>
      <c r="AC41" s="17" t="s">
        <v>147</v>
      </c>
      <c r="AD41" s="17" t="s">
        <v>109</v>
      </c>
      <c r="AE41" s="17">
        <v>28600</v>
      </c>
      <c r="AF41" s="17">
        <v>0.55000000000000004</v>
      </c>
    </row>
    <row r="42" spans="1:32" x14ac:dyDescent="0.25">
      <c r="N42"/>
      <c r="O42"/>
      <c r="AC42" s="17" t="s">
        <v>148</v>
      </c>
      <c r="AD42" s="17" t="s">
        <v>109</v>
      </c>
      <c r="AE42" s="17">
        <v>19000</v>
      </c>
      <c r="AF42" s="17">
        <v>0.55000000000000004</v>
      </c>
    </row>
    <row r="43" spans="1:32" x14ac:dyDescent="0.25">
      <c r="N43"/>
      <c r="O43"/>
      <c r="AC43" s="17" t="s">
        <v>149</v>
      </c>
      <c r="AD43" s="17" t="s">
        <v>109</v>
      </c>
      <c r="AE43" s="17">
        <v>30600</v>
      </c>
      <c r="AF43" s="17">
        <v>0.55000000000000004</v>
      </c>
    </row>
    <row r="44" spans="1:32" ht="15" customHeight="1" x14ac:dyDescent="0.25">
      <c r="N44"/>
      <c r="O44"/>
      <c r="AC44" s="22" t="s">
        <v>150</v>
      </c>
      <c r="AD44" s="22" t="s">
        <v>109</v>
      </c>
      <c r="AE44" s="22">
        <v>192</v>
      </c>
      <c r="AF44" s="22"/>
    </row>
    <row r="45" spans="1:32" x14ac:dyDescent="0.25">
      <c r="N45"/>
      <c r="O45"/>
      <c r="AC45" s="27" t="s">
        <v>151</v>
      </c>
      <c r="AD45" s="24" t="s">
        <v>109</v>
      </c>
      <c r="AE45" s="24">
        <v>455</v>
      </c>
      <c r="AF45" s="24"/>
    </row>
    <row r="46" spans="1:32" x14ac:dyDescent="0.25">
      <c r="N46"/>
      <c r="O46"/>
      <c r="AC46" s="27" t="s">
        <v>152</v>
      </c>
      <c r="AD46" s="24" t="s">
        <v>109</v>
      </c>
      <c r="AE46" s="24">
        <v>620</v>
      </c>
      <c r="AF46" s="24"/>
    </row>
    <row r="47" spans="1:32" x14ac:dyDescent="0.25">
      <c r="N47"/>
      <c r="O47"/>
      <c r="AC47" s="28" t="s">
        <v>153</v>
      </c>
      <c r="AD47" s="24" t="s">
        <v>109</v>
      </c>
      <c r="AE47" s="25">
        <v>16.399999999999999</v>
      </c>
      <c r="AF47" s="24"/>
    </row>
    <row r="48" spans="1:32" x14ac:dyDescent="0.25">
      <c r="N48"/>
      <c r="O48"/>
      <c r="AC48" s="28" t="s">
        <v>154</v>
      </c>
      <c r="AD48" s="24" t="s">
        <v>109</v>
      </c>
      <c r="AE48" s="25">
        <v>16.399999999999999</v>
      </c>
      <c r="AF48" s="24"/>
    </row>
    <row r="49" spans="14:32" x14ac:dyDescent="0.25">
      <c r="N49"/>
      <c r="O49"/>
      <c r="AC49" s="24" t="s">
        <v>155</v>
      </c>
      <c r="AD49" s="24" t="s">
        <v>109</v>
      </c>
      <c r="AE49" s="24">
        <v>68.75</v>
      </c>
      <c r="AF49" s="24"/>
    </row>
    <row r="50" spans="14:32" x14ac:dyDescent="0.25">
      <c r="N50"/>
      <c r="O50"/>
    </row>
    <row r="51" spans="14:32" x14ac:dyDescent="0.25">
      <c r="N51"/>
      <c r="O51"/>
    </row>
    <row r="52" spans="14:32" x14ac:dyDescent="0.25">
      <c r="N52"/>
      <c r="O52"/>
    </row>
    <row r="53" spans="14:32" x14ac:dyDescent="0.25">
      <c r="N53"/>
      <c r="O53"/>
    </row>
    <row r="54" spans="14:32" x14ac:dyDescent="0.25">
      <c r="N54"/>
      <c r="O54"/>
    </row>
    <row r="55" spans="14:32" x14ac:dyDescent="0.25">
      <c r="N55"/>
      <c r="O55"/>
    </row>
    <row r="56" spans="14:32" x14ac:dyDescent="0.25">
      <c r="N56"/>
      <c r="O56"/>
    </row>
    <row r="57" spans="14:32" x14ac:dyDescent="0.25">
      <c r="N57"/>
      <c r="O57"/>
    </row>
    <row r="58" spans="14:32" x14ac:dyDescent="0.25">
      <c r="N58"/>
      <c r="O58"/>
    </row>
    <row r="59" spans="14:32" x14ac:dyDescent="0.25">
      <c r="N59"/>
      <c r="O59"/>
    </row>
    <row r="60" spans="14:32" x14ac:dyDescent="0.25">
      <c r="N60"/>
      <c r="O60"/>
    </row>
    <row r="61" spans="14:32" x14ac:dyDescent="0.25">
      <c r="N61"/>
      <c r="O61"/>
    </row>
    <row r="62" spans="14:32" x14ac:dyDescent="0.25">
      <c r="N62"/>
      <c r="O62"/>
    </row>
    <row r="63" spans="14:32" x14ac:dyDescent="0.25">
      <c r="N63"/>
      <c r="O63"/>
    </row>
    <row r="64" spans="14:32" x14ac:dyDescent="0.25">
      <c r="N64"/>
      <c r="O64"/>
    </row>
    <row r="65" spans="14:15" x14ac:dyDescent="0.25">
      <c r="N65"/>
      <c r="O65"/>
    </row>
    <row r="66" spans="14:15" x14ac:dyDescent="0.25">
      <c r="N66"/>
      <c r="O66"/>
    </row>
    <row r="67" spans="14:15" x14ac:dyDescent="0.25">
      <c r="N67"/>
      <c r="O67"/>
    </row>
    <row r="68" spans="14:15" x14ac:dyDescent="0.25">
      <c r="N68"/>
      <c r="O68"/>
    </row>
    <row r="69" spans="14:15" x14ac:dyDescent="0.25">
      <c r="N69"/>
      <c r="O69"/>
    </row>
    <row r="70" spans="14:15" x14ac:dyDescent="0.25">
      <c r="N70"/>
      <c r="O70"/>
    </row>
    <row r="71" spans="14:15" x14ac:dyDescent="0.25">
      <c r="N71"/>
      <c r="O71"/>
    </row>
    <row r="72" spans="14:15" x14ac:dyDescent="0.25">
      <c r="N72"/>
      <c r="O72"/>
    </row>
    <row r="73" spans="14:15" x14ac:dyDescent="0.25">
      <c r="N73"/>
      <c r="O73"/>
    </row>
    <row r="74" spans="14:15" x14ac:dyDescent="0.25">
      <c r="N74"/>
      <c r="O74"/>
    </row>
    <row r="75" spans="14:15" x14ac:dyDescent="0.25">
      <c r="N75"/>
      <c r="O75"/>
    </row>
    <row r="76" spans="14:15" x14ac:dyDescent="0.25">
      <c r="N76"/>
      <c r="O76"/>
    </row>
    <row r="77" spans="14:15" x14ac:dyDescent="0.25">
      <c r="N77"/>
      <c r="O77"/>
    </row>
    <row r="78" spans="14:15" x14ac:dyDescent="0.25">
      <c r="N78"/>
      <c r="O78"/>
    </row>
    <row r="79" spans="14:15" x14ac:dyDescent="0.25">
      <c r="N79"/>
      <c r="O79"/>
    </row>
    <row r="80" spans="14:15" x14ac:dyDescent="0.25">
      <c r="N80"/>
      <c r="O80"/>
    </row>
    <row r="81" spans="14:15" x14ac:dyDescent="0.25">
      <c r="N81"/>
      <c r="O81"/>
    </row>
    <row r="82" spans="14:15" x14ac:dyDescent="0.25">
      <c r="N82"/>
      <c r="O82"/>
    </row>
    <row r="83" spans="14:15" x14ac:dyDescent="0.25">
      <c r="N83"/>
      <c r="O83"/>
    </row>
    <row r="84" spans="14:15" x14ac:dyDescent="0.25">
      <c r="N84"/>
      <c r="O84"/>
    </row>
    <row r="85" spans="14:15" x14ac:dyDescent="0.25">
      <c r="N85"/>
      <c r="O85"/>
    </row>
    <row r="86" spans="14:15" x14ac:dyDescent="0.25">
      <c r="N86"/>
      <c r="O86"/>
    </row>
    <row r="87" spans="14:15" x14ac:dyDescent="0.25">
      <c r="N87"/>
      <c r="O87"/>
    </row>
    <row r="88" spans="14:15" x14ac:dyDescent="0.25">
      <c r="N88"/>
      <c r="O88"/>
    </row>
    <row r="89" spans="14:15" x14ac:dyDescent="0.25">
      <c r="N89"/>
      <c r="O89"/>
    </row>
    <row r="90" spans="14:15" x14ac:dyDescent="0.25">
      <c r="N90"/>
      <c r="O90"/>
    </row>
    <row r="91" spans="14:15" x14ac:dyDescent="0.25">
      <c r="N91"/>
      <c r="O91"/>
    </row>
    <row r="92" spans="14:15" x14ac:dyDescent="0.25">
      <c r="N92"/>
      <c r="O92"/>
    </row>
    <row r="93" spans="14:15" x14ac:dyDescent="0.25">
      <c r="N93"/>
      <c r="O93"/>
    </row>
    <row r="94" spans="14:15" x14ac:dyDescent="0.25">
      <c r="N94"/>
      <c r="O94"/>
    </row>
    <row r="95" spans="14:15" x14ac:dyDescent="0.25">
      <c r="N95"/>
      <c r="O95"/>
    </row>
    <row r="96" spans="14:15" x14ac:dyDescent="0.25">
      <c r="N96"/>
      <c r="O96"/>
    </row>
    <row r="97" spans="14:15" x14ac:dyDescent="0.25">
      <c r="N97"/>
      <c r="O97"/>
    </row>
    <row r="98" spans="14:15" x14ac:dyDescent="0.25">
      <c r="N98"/>
      <c r="O98"/>
    </row>
    <row r="99" spans="14:15" x14ac:dyDescent="0.25">
      <c r="N99"/>
      <c r="O99"/>
    </row>
    <row r="100" spans="14:15" x14ac:dyDescent="0.25">
      <c r="N100"/>
      <c r="O100"/>
    </row>
    <row r="101" spans="14:15" x14ac:dyDescent="0.25">
      <c r="N101"/>
      <c r="O101"/>
    </row>
    <row r="102" spans="14:15" x14ac:dyDescent="0.25">
      <c r="N102"/>
      <c r="O102"/>
    </row>
    <row r="103" spans="14:15" x14ac:dyDescent="0.25">
      <c r="N103"/>
      <c r="O103"/>
    </row>
    <row r="104" spans="14:15" x14ac:dyDescent="0.25">
      <c r="N104"/>
      <c r="O104"/>
    </row>
    <row r="105" spans="14:15" x14ac:dyDescent="0.25">
      <c r="N105"/>
      <c r="O105"/>
    </row>
    <row r="106" spans="14:15" x14ac:dyDescent="0.25">
      <c r="N106"/>
      <c r="O106"/>
    </row>
    <row r="107" spans="14:15" x14ac:dyDescent="0.25">
      <c r="N107"/>
      <c r="O107"/>
    </row>
    <row r="108" spans="14:15" x14ac:dyDescent="0.25">
      <c r="N108"/>
      <c r="O108"/>
    </row>
    <row r="109" spans="14:15" x14ac:dyDescent="0.25">
      <c r="N109"/>
      <c r="O109"/>
    </row>
    <row r="110" spans="14:15" x14ac:dyDescent="0.25">
      <c r="N110"/>
      <c r="O110"/>
    </row>
    <row r="111" spans="14:15" x14ac:dyDescent="0.25">
      <c r="N111"/>
      <c r="O111"/>
    </row>
    <row r="112" spans="14:15" x14ac:dyDescent="0.25">
      <c r="N112"/>
      <c r="O112"/>
    </row>
    <row r="113" spans="14:15" x14ac:dyDescent="0.25">
      <c r="N113"/>
      <c r="O113"/>
    </row>
    <row r="114" spans="14:15" x14ac:dyDescent="0.25">
      <c r="N114"/>
      <c r="O114"/>
    </row>
    <row r="115" spans="14:15" x14ac:dyDescent="0.25">
      <c r="N115"/>
      <c r="O115"/>
    </row>
    <row r="116" spans="14:15" x14ac:dyDescent="0.25">
      <c r="N116"/>
      <c r="O116"/>
    </row>
    <row r="117" spans="14:15" x14ac:dyDescent="0.25">
      <c r="N117"/>
      <c r="O117"/>
    </row>
    <row r="118" spans="14:15" x14ac:dyDescent="0.25">
      <c r="N118"/>
      <c r="O118"/>
    </row>
    <row r="119" spans="14:15" x14ac:dyDescent="0.25">
      <c r="N119"/>
      <c r="O119"/>
    </row>
    <row r="120" spans="14:15" x14ac:dyDescent="0.25">
      <c r="N120"/>
      <c r="O120"/>
    </row>
    <row r="121" spans="14:15" x14ac:dyDescent="0.25">
      <c r="N121"/>
      <c r="O121"/>
    </row>
    <row r="122" spans="14:15" x14ac:dyDescent="0.25">
      <c r="N122"/>
      <c r="O122"/>
    </row>
    <row r="123" spans="14:15" x14ac:dyDescent="0.25">
      <c r="N123"/>
      <c r="O123"/>
    </row>
    <row r="124" spans="14:15" x14ac:dyDescent="0.25">
      <c r="N124"/>
      <c r="O124"/>
    </row>
    <row r="125" spans="14:15" x14ac:dyDescent="0.25">
      <c r="N125"/>
      <c r="O125"/>
    </row>
    <row r="126" spans="14:15" x14ac:dyDescent="0.25">
      <c r="N126"/>
      <c r="O126"/>
    </row>
    <row r="127" spans="14:15" x14ac:dyDescent="0.25">
      <c r="N127"/>
      <c r="O127"/>
    </row>
    <row r="128" spans="14:15" x14ac:dyDescent="0.25">
      <c r="N128"/>
      <c r="O128"/>
    </row>
    <row r="129" spans="14:15" x14ac:dyDescent="0.25">
      <c r="N129"/>
      <c r="O129"/>
    </row>
    <row r="130" spans="14:15" x14ac:dyDescent="0.25">
      <c r="N130"/>
      <c r="O130"/>
    </row>
    <row r="131" spans="14:15" x14ac:dyDescent="0.25">
      <c r="N131"/>
      <c r="O131"/>
    </row>
    <row r="132" spans="14:15" x14ac:dyDescent="0.25">
      <c r="N132"/>
      <c r="O132"/>
    </row>
    <row r="133" spans="14:15" x14ac:dyDescent="0.25">
      <c r="N133"/>
      <c r="O133"/>
    </row>
    <row r="134" spans="14:15" x14ac:dyDescent="0.25">
      <c r="N134"/>
      <c r="O134"/>
    </row>
    <row r="135" spans="14:15" x14ac:dyDescent="0.25">
      <c r="N135"/>
      <c r="O135"/>
    </row>
    <row r="136" spans="14:15" x14ac:dyDescent="0.25">
      <c r="N136"/>
      <c r="O136"/>
    </row>
    <row r="137" spans="14:15" x14ac:dyDescent="0.25">
      <c r="N137"/>
      <c r="O137"/>
    </row>
    <row r="138" spans="14:15" x14ac:dyDescent="0.25">
      <c r="N138"/>
      <c r="O138"/>
    </row>
    <row r="139" spans="14:15" x14ac:dyDescent="0.25">
      <c r="N139"/>
      <c r="O139"/>
    </row>
    <row r="140" spans="14:15" x14ac:dyDescent="0.25">
      <c r="N140"/>
      <c r="O140"/>
    </row>
    <row r="141" spans="14:15" x14ac:dyDescent="0.25">
      <c r="N141"/>
      <c r="O141"/>
    </row>
    <row r="142" spans="14:15" x14ac:dyDescent="0.25">
      <c r="N142"/>
      <c r="O142"/>
    </row>
    <row r="143" spans="14:15" x14ac:dyDescent="0.25">
      <c r="N143"/>
      <c r="O143"/>
    </row>
    <row r="144" spans="14:15" x14ac:dyDescent="0.25">
      <c r="N144"/>
      <c r="O144"/>
    </row>
    <row r="145" spans="14:15" x14ac:dyDescent="0.25">
      <c r="N145"/>
      <c r="O145"/>
    </row>
    <row r="146" spans="14:15" x14ac:dyDescent="0.25">
      <c r="N146"/>
      <c r="O146"/>
    </row>
    <row r="147" spans="14:15" x14ac:dyDescent="0.25">
      <c r="N147"/>
      <c r="O147"/>
    </row>
    <row r="148" spans="14:15" x14ac:dyDescent="0.25">
      <c r="N148"/>
      <c r="O148"/>
    </row>
    <row r="149" spans="14:15" x14ac:dyDescent="0.25">
      <c r="N149"/>
      <c r="O149"/>
    </row>
    <row r="150" spans="14:15" x14ac:dyDescent="0.25">
      <c r="N150"/>
      <c r="O150"/>
    </row>
    <row r="151" spans="14:15" x14ac:dyDescent="0.25">
      <c r="N151"/>
      <c r="O151"/>
    </row>
    <row r="152" spans="14:15" x14ac:dyDescent="0.25">
      <c r="N152"/>
      <c r="O152"/>
    </row>
    <row r="153" spans="14:15" x14ac:dyDescent="0.25">
      <c r="N153"/>
      <c r="O153"/>
    </row>
    <row r="154" spans="14:15" x14ac:dyDescent="0.25">
      <c r="N154"/>
      <c r="O154"/>
    </row>
    <row r="155" spans="14:15" x14ac:dyDescent="0.25">
      <c r="N155"/>
      <c r="O155"/>
    </row>
    <row r="156" spans="14:15" x14ac:dyDescent="0.25">
      <c r="N156"/>
      <c r="O156"/>
    </row>
    <row r="157" spans="14:15" x14ac:dyDescent="0.25">
      <c r="N157"/>
      <c r="O157"/>
    </row>
    <row r="158" spans="14:15" x14ac:dyDescent="0.25">
      <c r="N158"/>
      <c r="O158"/>
    </row>
    <row r="159" spans="14:15" x14ac:dyDescent="0.25">
      <c r="N159"/>
      <c r="O159"/>
    </row>
    <row r="160" spans="14:15" x14ac:dyDescent="0.25">
      <c r="N160"/>
      <c r="O160"/>
    </row>
    <row r="161" spans="14:15" x14ac:dyDescent="0.25">
      <c r="N161"/>
      <c r="O161"/>
    </row>
    <row r="162" spans="14:15" x14ac:dyDescent="0.25">
      <c r="N162"/>
      <c r="O162"/>
    </row>
    <row r="163" spans="14:15" x14ac:dyDescent="0.25">
      <c r="N163"/>
      <c r="O163"/>
    </row>
    <row r="164" spans="14:15" x14ac:dyDescent="0.25">
      <c r="N164"/>
      <c r="O164"/>
    </row>
    <row r="165" spans="14:15" x14ac:dyDescent="0.25">
      <c r="N165"/>
      <c r="O165"/>
    </row>
    <row r="166" spans="14:15" x14ac:dyDescent="0.25">
      <c r="N166"/>
      <c r="O166"/>
    </row>
    <row r="167" spans="14:15" x14ac:dyDescent="0.25">
      <c r="N167"/>
      <c r="O167"/>
    </row>
    <row r="168" spans="14:15" x14ac:dyDescent="0.25">
      <c r="N168"/>
      <c r="O168"/>
    </row>
    <row r="169" spans="14:15" x14ac:dyDescent="0.25">
      <c r="N169"/>
      <c r="O169"/>
    </row>
    <row r="170" spans="14:15" x14ac:dyDescent="0.25">
      <c r="O170"/>
    </row>
    <row r="171" spans="14:15" x14ac:dyDescent="0.25">
      <c r="O171"/>
    </row>
    <row r="172" spans="14:15" x14ac:dyDescent="0.25">
      <c r="O172"/>
    </row>
    <row r="173" spans="14:15" x14ac:dyDescent="0.25">
      <c r="O173"/>
    </row>
    <row r="174" spans="14:15" x14ac:dyDescent="0.25">
      <c r="O174"/>
    </row>
  </sheetData>
  <mergeCells count="4">
    <mergeCell ref="AC1:AE1"/>
    <mergeCell ref="AN1:AP1"/>
    <mergeCell ref="E1:F1"/>
    <mergeCell ref="AX1:AY1"/>
  </mergeCells>
  <dataValidations count="7">
    <dataValidation type="list" allowBlank="1" showInputMessage="1" showErrorMessage="1" sqref="B2:B41" xr:uid="{00000000-0002-0000-0600-000000000000}">
      <formula1>$D$2:$D$8</formula1>
    </dataValidation>
    <dataValidation type="list" allowBlank="1" showInputMessage="1" showErrorMessage="1" sqref="U2:U41" xr:uid="{00000000-0002-0000-0600-000001000000}">
      <formula1>$L$2:$L$32</formula1>
    </dataValidation>
    <dataValidation type="list" allowBlank="1" showInputMessage="1" showErrorMessage="1" sqref="T2:T41" xr:uid="{00000000-0002-0000-0600-000002000000}">
      <formula1>$K$2:$K$32</formula1>
    </dataValidation>
    <dataValidation type="list" allowBlank="1" showInputMessage="1" showErrorMessage="1" sqref="V2:V41" xr:uid="{00000000-0002-0000-0600-000003000000}">
      <formula1>$M$2:$M$3</formula1>
    </dataValidation>
    <dataValidation type="list" allowBlank="1" showInputMessage="1" showErrorMessage="1" sqref="W2:W41 X3:X41" xr:uid="{00000000-0002-0000-0600-000004000000}">
      <formula1>$N$2:$N$32</formula1>
    </dataValidation>
    <dataValidation type="list" allowBlank="1" showInputMessage="1" showErrorMessage="1" sqref="X2" xr:uid="{00000000-0002-0000-0600-000005000000}">
      <formula1>$O$2:$O$32</formula1>
    </dataValidation>
    <dataValidation type="list" allowBlank="1" showInputMessage="1" showErrorMessage="1" sqref="Y2:Y41" xr:uid="{36218779-3F8B-45D6-894A-76B7C7677857}">
      <formula1>#REF!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ИсходныеДанные</vt:lpstr>
      <vt:lpstr>Невидимки</vt:lpstr>
      <vt:lpstr>Покраска</vt:lpstr>
      <vt:lpstr>Вспомогательная (Панели)</vt:lpstr>
      <vt:lpstr>Панели (все)</vt:lpstr>
      <vt:lpstr>КК остальное</vt:lpstr>
      <vt:lpstr>Параметры</vt:lpstr>
      <vt:lpstr>СписокКраски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Engineer</cp:lastModifiedBy>
  <dcterms:created xsi:type="dcterms:W3CDTF">2025-05-04T17:01:51Z</dcterms:created>
  <dcterms:modified xsi:type="dcterms:W3CDTF">2025-06-03T07:03:27Z</dcterms:modified>
</cp:coreProperties>
</file>